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ignes" sheetId="1" state="visible" r:id="rId1"/>
    <sheet name="Exercices" sheetId="2" state="visible" r:id="rId2"/>
    <sheet name="Corrections" sheetId="3" state="visible" r:id="rId3"/>
    <sheet name="Synthèse" sheetId="4" state="visible" r:id="rId4"/>
  </sheets>
  <definedNames>
    <definedName name="_xlnm._FilterDatabase" localSheetId="1" hidden="1">'Exercices'!$A$1:$P$62</definedName>
    <definedName name="_xlnm._FilterDatabase" localSheetId="2" hidden="1">'Corrections'!$A$1:$P$62</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0F5F52"/>
      <sz val="14"/>
    </font>
    <font>
      <name val="Arial"/>
      <sz val="10"/>
    </font>
    <font>
      <name val="Arial"/>
      <b val="1"/>
    </font>
    <font>
      <name val="Arial"/>
      <i val="1"/>
      <color rgb="007F7F7F"/>
      <sz val="10"/>
    </font>
    <font>
      <name val="Arial"/>
      <b val="1"/>
      <color rgb="00FFFFFF"/>
    </font>
  </fonts>
  <fills count="5">
    <fill>
      <patternFill/>
    </fill>
    <fill>
      <patternFill patternType="gray125"/>
    </fill>
    <fill>
      <patternFill patternType="solid">
        <fgColor rgb="00FFF2CC"/>
      </patternFill>
    </fill>
    <fill>
      <patternFill patternType="solid">
        <fgColor rgb="000F5F52"/>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xf numFmtId="0" fontId="1" fillId="0" borderId="0" pivotButton="0" quotePrefix="0" xfId="0"/>
    <xf numFmtId="0" fontId="2" fillId="0" borderId="0" pivotButton="0" quotePrefix="0" xfId="0"/>
    <xf numFmtId="9"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RépétIA</author>
  </authors>
  <commentList>
    <comment ref="A1" authorId="0" shapeId="0">
      <text>
        <t>Code anonyme de la ligne : ne pas modifier.</t>
      </text>
    </comment>
  </commentList>
</comments>
</file>

<file path=xl/comments/comment2.xml><?xml version="1.0" encoding="utf-8"?>
<comments xmlns="http://schemas.openxmlformats.org/spreadsheetml/2006/main">
  <authors>
    <author>RépétIA</author>
  </authors>
  <commentList>
    <comment ref="A1" authorId="0" shapeId="0">
      <text>
        <t>Code anonyme de la ligne : ne pas modifier.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00" customWidth="1" min="1" max="1"/>
    <col width="40" customWidth="1" min="2" max="2"/>
  </cols>
  <sheetData>
    <row r="1">
      <c r="A1" s="1" t="inlineStr">
        <is>
          <t>Relecture des exercices et corrections de RépétIA</t>
        </is>
      </c>
    </row>
    <row r="2">
      <c r="A2" s="2" t="inlineStr"/>
    </row>
    <row r="3">
      <c r="A3" s="3" t="inlineStr">
        <is>
          <t>Merci de votre aide. Vous allez lire des exercices et des corrections rédigés automatiquement pour des élèves béninois, de la 6ème à la Terminale, et dire s'ils sont justes et utilisables.</t>
        </is>
      </c>
    </row>
    <row r="4">
      <c r="A4" s="2" t="inlineStr"/>
    </row>
    <row r="5">
      <c r="A5" s="4" t="inlineStr">
        <is>
          <t>Vos informations</t>
        </is>
      </c>
    </row>
    <row r="6">
      <c r="A6" s="3" t="inlineStr">
        <is>
          <t>Nom et prénom :</t>
        </is>
      </c>
      <c r="B6" s="5" t="n"/>
    </row>
    <row r="7">
      <c r="A7" s="3" t="inlineStr">
        <is>
          <t>Discipline(s) enseignée(s) :</t>
        </is>
      </c>
      <c r="B7" s="5" t="n"/>
    </row>
    <row r="8">
      <c r="A8" s="3" t="inlineStr">
        <is>
          <t>Classes enseignées :</t>
        </is>
      </c>
      <c r="B8" s="5" t="n"/>
    </row>
    <row r="9">
      <c r="A9" s="3" t="inlineStr">
        <is>
          <t>Établissement (facultatif) :</t>
        </is>
      </c>
      <c r="B9" s="5" t="n"/>
    </row>
    <row r="10">
      <c r="A10" s="2" t="inlineStr"/>
    </row>
    <row r="11">
      <c r="A11" s="4" t="inlineStr">
        <is>
          <t>Comment remplir</t>
        </is>
      </c>
    </row>
    <row r="12">
      <c r="A12" s="3" t="inlineStr">
        <is>
          <t>1. Onglets « Exercices » et « Corrections » : ne remplissez QUE les cellules jaunes.</t>
        </is>
      </c>
    </row>
    <row r="13">
      <c r="A13" s="3" t="inlineStr">
        <is>
          <t>2. Chaque cellule jaune propose une liste déroulante : choisissez une valeur.</t>
        </is>
      </c>
    </row>
    <row r="14">
      <c r="A14" s="3" t="inlineStr">
        <is>
          <t>3. Relisez seulement les lignes de VOTRE discipline et de VOS niveaux (filtrez les colonnes « Matière » et « Niveau ») ; laissez les autres vides.</t>
        </is>
      </c>
    </row>
    <row r="15">
      <c r="A15" s="3" t="inlineStr">
        <is>
          <t>4. La ligne grisée « EXEMPLE » montre le format attendu ; elle n'est pas comptée.</t>
        </is>
      </c>
    </row>
    <row r="16">
      <c r="A16" s="3" t="inlineStr">
        <is>
          <t>5. Justesse : « Erreur mineure » = imprécision qui ne trompe pas l'élève ; « Erreur grave » = l'élève apprendrait quelque chose de faux (calcul, date, définition…).</t>
        </is>
      </c>
    </row>
    <row r="17">
      <c r="A17" s="3" t="inlineStr">
        <is>
          <t>6. Notes de 1 (très mauvais) à 5 (excellent). Notez comme pour le travail d'un collègue.</t>
        </is>
      </c>
    </row>
    <row r="18">
      <c r="A18" s="3" t="inlineStr">
        <is>
          <t>7. Un commentaire court aide beaucoup quand vous signalez une erreur : dites laquelle.</t>
        </is>
      </c>
    </row>
    <row r="19">
      <c r="A19" s="2" t="inlineStr"/>
    </row>
    <row r="20">
      <c r="A20" s="6" t="inlineStr">
        <is>
          <t>Les lignes ne sont pas toutes produites par le même système : ne cherchez pas à les distinguer, jugez chacune pour elle-même.</t>
        </is>
      </c>
    </row>
    <row r="21">
      <c r="A21" s="2" t="inlineStr"/>
    </row>
    <row r="22">
      <c r="A22" s="3" t="inlineStr">
        <is>
          <t>Renvoyez le fichier rempli, renommé avec votre nom (ex. grille_relecture_v1_Dossou.xlsx).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8" customWidth="1" min="3" max="3"/>
    <col width="22" customWidth="1" min="4" max="4"/>
    <col width="10" customWidth="1" min="5" max="5"/>
    <col width="60" customWidth="1" min="6" max="6"/>
    <col width="35" customWidth="1" min="7" max="7"/>
    <col width="80"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40" customWidth="1" min="16" max="16"/>
  </cols>
  <sheetData>
    <row r="1">
      <c r="A1" s="7" t="inlineStr">
        <is>
          <t>Code</t>
        </is>
      </c>
      <c r="B1" s="7" t="inlineStr">
        <is>
          <t>Niveau</t>
        </is>
      </c>
      <c r="C1" s="7" t="inlineStr">
        <is>
          <t>Matière</t>
        </is>
      </c>
      <c r="D1" s="7" t="inlineStr">
        <is>
          <t>Thème demandé</t>
        </is>
      </c>
      <c r="E1" s="7" t="inlineStr">
        <is>
          <t>Difficulté</t>
        </is>
      </c>
      <c r="F1" s="7" t="inlineStr">
        <is>
          <t>Énoncé</t>
        </is>
      </c>
      <c r="G1" s="7" t="inlineStr">
        <is>
          <t>Solution</t>
        </is>
      </c>
      <c r="H1" s="7" t="inlineStr">
        <is>
          <t>Explication</t>
        </is>
      </c>
      <c r="I1" s="7" t="inlineStr">
        <is>
          <t>Justesse (solution et explication)</t>
        </is>
      </c>
      <c r="J1" s="7" t="inlineStr">
        <is>
          <t>Respecte le thème demandé</t>
        </is>
      </c>
      <c r="K1" s="7" t="inlineStr">
        <is>
          <t>Adapté au niveau</t>
        </is>
      </c>
      <c r="L1" s="7" t="inlineStr">
        <is>
          <t>Clarté de l'énoncé (1 à 5)</t>
        </is>
      </c>
      <c r="M1" s="7" t="inlineStr">
        <is>
          <t>Qualité de l'explication (1 à 5)</t>
        </is>
      </c>
      <c r="N1" s="7" t="inlineStr">
        <is>
          <t>Qualité du français (1 à 5)</t>
        </is>
      </c>
      <c r="O1" s="7" t="inlineStr">
        <is>
          <t>Utilisable en classe</t>
        </is>
      </c>
      <c r="P1" s="7" t="inlineStr">
        <is>
          <t>Commentaire (facultatif)</t>
        </is>
      </c>
    </row>
    <row r="2">
      <c r="A2" s="8" t="inlineStr">
        <is>
          <t>EXEMPLE</t>
        </is>
      </c>
      <c r="B2" s="8" t="inlineStr">
        <is>
          <t>3ème (BEPC)</t>
        </is>
      </c>
      <c r="C2" s="8" t="inlineStr">
        <is>
          <t>Mathématiques</t>
        </is>
      </c>
      <c r="D2" s="8" t="inlineStr">
        <is>
          <t>Théorème de Pythagore</t>
        </is>
      </c>
      <c r="E2" s="8" t="inlineStr">
        <is>
          <t>facile</t>
        </is>
      </c>
      <c r="F2" s="8" t="inlineStr">
        <is>
          <t>ABC est rectangle en A, AB = 3 cm, AC = 4 cm. Calcule BC.</t>
        </is>
      </c>
      <c r="G2" s="8" t="inlineStr">
        <is>
          <t>BC = 5 cm</t>
        </is>
      </c>
      <c r="H2" s="8" t="inlineStr">
        <is>
          <t>1) Le triangle est rectangle en A : on applique Pythagore. 2) BC² = 3² + 4² = 25. 3) BC = √25 = 5 cm.</t>
        </is>
      </c>
      <c r="I2" s="8" t="inlineStr">
        <is>
          <t>Juste</t>
        </is>
      </c>
      <c r="J2" s="8" t="inlineStr">
        <is>
          <t>Oui</t>
        </is>
      </c>
      <c r="K2" s="8" t="inlineStr">
        <is>
          <t>Adapté</t>
        </is>
      </c>
      <c r="L2" s="8" t="inlineStr">
        <is>
          <t>5</t>
        </is>
      </c>
      <c r="M2" s="8" t="inlineStr">
        <is>
          <t>4</t>
        </is>
      </c>
      <c r="N2" s="8" t="inlineStr">
        <is>
          <t>5</t>
        </is>
      </c>
      <c r="O2" s="8" t="inlineStr">
        <is>
          <t>Tel quel</t>
        </is>
      </c>
      <c r="P2" s="8" t="inlineStr">
        <is>
          <t>Clair ; on pourrait rappeler l'hypoténuse.</t>
        </is>
      </c>
    </row>
    <row r="3">
      <c r="A3" s="9" t="inlineStr">
        <is>
          <t>E001</t>
        </is>
      </c>
      <c r="B3" s="9" t="inlineStr">
        <is>
          <t>6ème</t>
        </is>
      </c>
      <c r="C3" s="9" t="inlineStr">
        <is>
          <t>Mathématiques</t>
        </is>
      </c>
      <c r="D3" s="9" t="inlineStr">
        <is>
          <t>Statistiques et tableaux</t>
        </is>
      </c>
      <c r="E3" s="9" t="inlineStr">
        <is>
          <t>moyen</t>
        </is>
      </c>
      <c r="F3" s="9" t="inlineStr">
        <is>
          <t>Dans une école de Cotonou, la répartition des élèves par genre est la suivante : 45 filles et 55 garçons. Calcule le pourcentage d'élèves qui sont des filles.</t>
        </is>
      </c>
      <c r="G3" s="9" t="inlineStr">
        <is>
          <t>45%</t>
        </is>
      </c>
      <c r="H3" s="9" t="inlineStr">
        <is>
          <t>Étape 1 : On calcule d'abord le nombre total d'élèves de l'école en additionnant le nombre de filles et le nombre de garçons, soit 45 + 55 = 100 élèves.
Étape 2 : On prend le nombre de filles, qui est 45.
Étape 3 : On pose le calcul du pourcentage : (45 ÷ 100) × 100%.
Étape 4 : Le résultat est 45%.</t>
        </is>
      </c>
      <c r="I3" s="10" t="n"/>
      <c r="J3" s="10" t="n"/>
      <c r="K3" s="10" t="n"/>
      <c r="L3" s="10" t="n"/>
      <c r="M3" s="10" t="n"/>
      <c r="N3" s="10" t="n"/>
      <c r="O3" s="10" t="n"/>
      <c r="P3" s="10" t="n"/>
    </row>
    <row r="4">
      <c r="A4" s="9" t="inlineStr">
        <is>
          <t>E002</t>
        </is>
      </c>
      <c r="B4" s="9" t="inlineStr">
        <is>
          <t>5ème</t>
        </is>
      </c>
      <c r="C4" s="9" t="inlineStr">
        <is>
          <t>Mathématiques</t>
        </is>
      </c>
      <c r="D4" s="9" t="inlineStr">
        <is>
          <t>Triangles et angles</t>
        </is>
      </c>
      <c r="E4" s="9" t="inlineStr">
        <is>
          <t>facile</t>
        </is>
      </c>
      <c r="F4" s="9" t="inlineStr">
        <is>
          <t>Dans un triangle ABC, l'angle ABC mesure 70° et l'angle ACB mesure 50°. Calcule la mesure de l'angle BAC.</t>
        </is>
      </c>
      <c r="G4" s="9" t="inlineStr">
        <is>
          <t>60°</t>
        </is>
      </c>
      <c r="H4" s="9" t="inlineStr">
        <is>
          <t>Étape 1 : On sait que la somme des mesures des angles d'un triangle est toujours égale à 180°.
Étape 2 : On additionne les deux angles que l'on connaît déjà : 70° + 50° = 120°.
Étape 3 : On soustrait cette somme de 180° pour trouver le troisième angle : 180° - 120° = 60°.
Étape 4 : L'angle BAC mesure donc 60°.</t>
        </is>
      </c>
      <c r="I4" s="10" t="n"/>
      <c r="J4" s="10" t="n"/>
      <c r="K4" s="10" t="n"/>
      <c r="L4" s="10" t="n"/>
      <c r="M4" s="10" t="n"/>
      <c r="N4" s="10" t="n"/>
      <c r="O4" s="10" t="n"/>
      <c r="P4" s="10" t="n"/>
    </row>
    <row r="5">
      <c r="A5" s="9" t="inlineStr">
        <is>
          <t>E003</t>
        </is>
      </c>
      <c r="B5" s="9" t="inlineStr">
        <is>
          <t>4ème</t>
        </is>
      </c>
      <c r="C5" s="9" t="inlineStr">
        <is>
          <t>Physique-Chimie-Technologie</t>
        </is>
      </c>
      <c r="D5" s="9" t="inlineStr">
        <is>
          <t>Lois des tensions et des intensités</t>
        </is>
      </c>
      <c r="E5" s="9" t="inlineStr">
        <is>
          <t>facile</t>
        </is>
      </c>
      <c r="F5" s="9" t="inlineStr">
        <is>
          <t>Dans un circuit en série au Bénin, une lampe est alimentée par une pile. On mesure l'intensité du courant qui sort de la pile, elle vaut 0,5 A. Quelle est l'intensité du courant qui traverse la lampe sachant que le circuit comporte une seule boucle ?</t>
        </is>
      </c>
      <c r="G5" s="9" t="inlineStr">
        <is>
          <t>0,5 A</t>
        </is>
      </c>
      <c r="H5" s="9" t="inlineStr">
        <is>
          <t>Bravo pour ton effort, allons-y étape par étape. D'abord, rappelons la règle des circuits en série : dans un circuit en série, il n'y a qu'une seule boucle et un seul chemin pour le courant. D'après la loi des intensités dans un circuit en série, l'intensité du courant est la même en tout point du circuit. C'est comme l'eau qui coule dans un tuyau unique, la quantité qui entre est la même que celle qui circule partout ailleurs. Puisque l'intensité qui sort de la pile est de 0,5 A, alors l'intensité qui traverse la lampe est exactement la même, c'est-à-dire 0,5 A. Tu vois, c'est très simple quand on retient bien son cours !</t>
        </is>
      </c>
      <c r="I5" s="10" t="n"/>
      <c r="J5" s="10" t="n"/>
      <c r="K5" s="10" t="n"/>
      <c r="L5" s="10" t="n"/>
      <c r="M5" s="10" t="n"/>
      <c r="N5" s="10" t="n"/>
      <c r="O5" s="10" t="n"/>
      <c r="P5" s="10" t="n"/>
    </row>
    <row r="6">
      <c r="A6" s="9" t="inlineStr">
        <is>
          <t>E004</t>
        </is>
      </c>
      <c r="B6" s="9" t="inlineStr">
        <is>
          <t>5ème</t>
        </is>
      </c>
      <c r="C6" s="9" t="inlineStr">
        <is>
          <t>Mathématiques</t>
        </is>
      </c>
      <c r="D6" s="9" t="inlineStr">
        <is>
          <t>Nombres relatifs</t>
        </is>
      </c>
      <c r="E6" s="9" t="inlineStr">
        <is>
          <t>facile</t>
        </is>
      </c>
      <c r="F6" s="9" t="inlineStr">
        <is>
          <t>Calcule et donne le résultat sous forme de nombre relatif : -8 + 12.</t>
        </is>
      </c>
      <c r="G6" s="9" t="inlineStr">
        <is>
          <t>+4</t>
        </is>
      </c>
      <c r="H6" s="9" t="inlineStr">
        <is>
          <t>On additionne deux nombres relatifs de signes contraires.
1) On compare les distances à zéro :
   celle de -8 vaut 8, celle de +12 vaut 12.
2) 12 est plus grand que 8 : le résultat prend le signe PLUS.
3) On soustrait la plus petite distance de la plus grande :
   12 - 8 = 4
4) Résultat : +4</t>
        </is>
      </c>
      <c r="I6" s="10" t="n"/>
      <c r="J6" s="10" t="n"/>
      <c r="K6" s="10" t="n"/>
      <c r="L6" s="10" t="n"/>
      <c r="M6" s="10" t="n"/>
      <c r="N6" s="10" t="n"/>
      <c r="O6" s="10" t="n"/>
      <c r="P6" s="10" t="n"/>
    </row>
    <row r="7">
      <c r="A7" s="9" t="inlineStr">
        <is>
          <t>E005</t>
        </is>
      </c>
      <c r="B7" s="9" t="inlineStr">
        <is>
          <t>4ème</t>
        </is>
      </c>
      <c r="C7" s="9" t="inlineStr">
        <is>
          <t>Mathématiques</t>
        </is>
      </c>
      <c r="D7" s="9" t="inlineStr">
        <is>
          <t>Théorème de Pythagore (initiation)</t>
        </is>
      </c>
      <c r="E7" s="9" t="inlineStr">
        <is>
          <t>moyen</t>
        </is>
      </c>
      <c r="F7" s="9" t="inlineStr">
        <is>
          <t>Un triangle ABC est rectangle en A.
On donne AB = 9 cm et AC = 40 cm.
Calcule la longueur BC.</t>
        </is>
      </c>
      <c r="G7" s="9" t="inlineStr">
        <is>
          <t>BC = 41 cm</t>
        </is>
      </c>
      <c r="H7" s="9" t="inlineStr">
        <is>
          <t>Le triangle est rectangle en A : on peut appliquer le théorème de Pythagore.
1) ON IDENTIFIE L'HYPOTÉNUSE
   C'est le côté opposé à l'angle droit, donc [BC].
2) ON ÉCRIT LE THÉORÈME
   BC² = AB² + AC²
3) ON REMPLACE
   BC² = 9² + 40²
   BC² = 81 + 1 600
   BC² = 1 681
4) ON PREND LA RACINE CARRÉE
   BC = √1 681
   BC = 41 cm
VÉRIFICATION DE BON SENS
   L'hypoténuse est toujours le plus long côté.
   41 cm dépasse bien 9 cm et 40 cm.</t>
        </is>
      </c>
      <c r="I7" s="10" t="n"/>
      <c r="J7" s="10" t="n"/>
      <c r="K7" s="10" t="n"/>
      <c r="L7" s="10" t="n"/>
      <c r="M7" s="10" t="n"/>
      <c r="N7" s="10" t="n"/>
      <c r="O7" s="10" t="n"/>
      <c r="P7" s="10" t="n"/>
    </row>
    <row r="8">
      <c r="A8" s="9" t="inlineStr">
        <is>
          <t>E006</t>
        </is>
      </c>
      <c r="B8" s="9" t="inlineStr">
        <is>
          <t>5ème</t>
        </is>
      </c>
      <c r="C8" s="9" t="inlineStr">
        <is>
          <t>Physique-Chimie-Technologie</t>
        </is>
      </c>
      <c r="D8" s="9" t="inlineStr">
        <is>
          <t>Mélanges et corps purs</t>
        </is>
      </c>
      <c r="E8" s="9" t="inlineStr">
        <is>
          <t>moyen</t>
        </is>
      </c>
      <c r="F8" s="9" t="inlineStr">
        <is>
          <t>Koffi veut préparer de l'eau salée pour cuisiner. Il verse 20 grammes de sel de cuisine dans un verre contenant 150 millilitres d'eau pure, puis il agite vigoureusement jusqu'à disparition totale du sel. Quel est le nom du mélange obtenu, et s'agit-il d'un mélange homogène ou hétérogène ?</t>
        </is>
      </c>
      <c r="G8" s="9" t="inlineStr">
        <is>
          <t>C'est une solution aqueuse (ou un mélange homogène).</t>
        </is>
      </c>
      <c r="H8" s="9" t="inlineStr">
        <is>
          <t>Nous allons procéder étape par étape pour comprendre. D'abord, nous observons que le sel solide disparaît complètement dans l'eau après agitation. Cela signifie que les grains de sel se sont dissous dans l'eau. Ensuite, comme on ne peut plus distinguer les grains de sel à l'œil nu, le mélange a le même aspect partout : c'est un mélange homogène. Enfin, comme le solvant est de l'eau, on appelle plus précisément ce mélange une solution aqueuse. C'est très important de s'en souvenir pour le BEPC ! C'est exactement ce qui se passe quand maman prépare la sauce à la maison.</t>
        </is>
      </c>
      <c r="I8" s="10" t="n"/>
      <c r="J8" s="10" t="n"/>
      <c r="K8" s="10" t="n"/>
      <c r="L8" s="10" t="n"/>
      <c r="M8" s="10" t="n"/>
      <c r="N8" s="10" t="n"/>
      <c r="O8" s="10" t="n"/>
      <c r="P8" s="10" t="n"/>
    </row>
    <row r="9">
      <c r="A9" s="9" t="inlineStr">
        <is>
          <t>E007</t>
        </is>
      </c>
      <c r="B9" s="9" t="inlineStr">
        <is>
          <t>5ème</t>
        </is>
      </c>
      <c r="C9" s="9" t="inlineStr">
        <is>
          <t>Mathématiques</t>
        </is>
      </c>
      <c r="D9" s="9" t="inlineStr">
        <is>
          <t>Aires et volumes simples</t>
        </is>
      </c>
      <c r="E9" s="9" t="inlineStr">
        <is>
          <t>moyen</t>
        </is>
      </c>
      <c r="F9" s="9" t="inlineStr">
        <is>
          <t>Un jardin rectangulaire mesure 9 m de longueur et 7 m de largeur. On y pose un pavé carré de côté 2 m. Calcule l'aire du pavé carré puis compare-la à l'aire totale du jardin.</t>
        </is>
      </c>
      <c r="G9" s="9" t="inlineStr">
        <is>
          <t>L'aire du pavé carré est 4 m², soit environ 4,44 pourcent de l'aire du jardin.</t>
        </is>
      </c>
      <c r="H9" s="9" t="inlineStr">
        <is>
          <t>Étape 1 : Calcule l'aire du jardin rectangulaire en multipliant longueur par largeur : 9 × 7 = 63 m². Étape 2 : Calcule l'aire du pavé carré en élevant le côté au carré : 2 × 2 = 4 m². Étape 3 : Compare les deux aires en calculant le pourcentage : (4 ÷ 63) × 100 ≈ 4,44 pourcent.</t>
        </is>
      </c>
      <c r="I9" s="10" t="n"/>
      <c r="J9" s="10" t="n"/>
      <c r="K9" s="10" t="n"/>
      <c r="L9" s="10" t="n"/>
      <c r="M9" s="10" t="n"/>
      <c r="N9" s="10" t="n"/>
      <c r="O9" s="10" t="n"/>
      <c r="P9" s="10" t="n"/>
    </row>
    <row r="10">
      <c r="A10" s="9" t="inlineStr">
        <is>
          <t>E008</t>
        </is>
      </c>
      <c r="B10" s="9" t="inlineStr">
        <is>
          <t>Terminale (BAC)</t>
        </is>
      </c>
      <c r="C10" s="9" t="inlineStr">
        <is>
          <t>Physique-Chimie-Technologie</t>
        </is>
      </c>
      <c r="D10" s="9" t="inlineStr">
        <is>
          <t>Travail, énergie et puissance</t>
        </is>
      </c>
      <c r="E10" s="9" t="inlineStr">
        <is>
          <t>moyen</t>
        </is>
      </c>
      <c r="F10" s="9" t="inlineStr">
        <is>
          <t>Un car de masse m = 2 000 kg roule à la vitesse v = 10 m/s.
1) Calcule son énergie cinétique.
2) Que devient cette énergie si la vitesse double ?</t>
        </is>
      </c>
      <c r="G10" s="9" t="inlineStr">
        <is>
          <t>Ec = 100 000 J ; à vitesse double, elle est multipliée par 4, soit 400 000 J.</t>
        </is>
      </c>
      <c r="H10" s="9" t="inlineStr">
        <is>
          <t>1) ÉNERGIE CINÉTIQUE
   Ec = ½ × m × v²
   Ec = 0,5 × 2 000 × 10²
   Ec = 0,5 × 2 000 × 100
   Ec = 100 000 J
2) SI LA VITESSE DOUBLE
   La vitesse intervient au CARRÉ.
   Doubler v revient à multiplier v² par 2² = 4.
   Ec devient 100 000 × 4 = 400 000 J
CONSÉQUENCE CONCRÈTE
   C'est pourquoi la distance d'arrêt d'un véhicule est multipliée par quatre
   quand sa vitesse double : il y a quatre fois plus d'énergie à dissiper.</t>
        </is>
      </c>
      <c r="I10" s="10" t="n"/>
      <c r="J10" s="10" t="n"/>
      <c r="K10" s="10" t="n"/>
      <c r="L10" s="10" t="n"/>
      <c r="M10" s="10" t="n"/>
      <c r="N10" s="10" t="n"/>
      <c r="O10" s="10" t="n"/>
      <c r="P10" s="10" t="n"/>
    </row>
    <row r="11">
      <c r="A11" s="9" t="inlineStr">
        <is>
          <t>E009</t>
        </is>
      </c>
      <c r="B11" s="9" t="inlineStr">
        <is>
          <t>4ème</t>
        </is>
      </c>
      <c r="C11" s="9" t="inlineStr">
        <is>
          <t>Sciences de la Vie et de la Terre</t>
        </is>
      </c>
      <c r="D11" s="9" t="inlineStr">
        <is>
          <t>Reproduction des animaux et végétaux</t>
        </is>
      </c>
      <c r="E11" s="9" t="inlineStr">
        <is>
          <t>moyen</t>
        </is>
      </c>
      <c r="F11" s="9" t="inlineStr">
        <is>
          <t>La reproduction chez les animaux se divise en deux grandes catégories : l'oviparité et l'viviparité. Quelle est la différence fondamentale entre ces deux modes de reproduction en ce qui concerne le lieu de l'embryon et la naissance du petit ?</t>
        </is>
      </c>
      <c r="G11" s="9" t="inlineStr">
        <is>
          <t>Chez les ovipares, l'embryon se développe dans un œuf pondu à l'extérieur du corps de la mère, tandis que chez les vivipares, l'embryon se développe à l'intérieur du corps de la mère et naît vivant.</t>
        </is>
      </c>
      <c r="H11" s="9" t="inlineStr">
        <is>
          <t>1. Analyser le terme oviparité : 'oïvum' signifie œuf. La femelle pond des œufs qui doivent éclore à l'air libre, comme la poule ou la grenouille. 2. Analyser le terme viviparité : 'vivus' signifie vivant. Le petit se développe dans l'utérus de la mère et reçoit des nutriments directement, naissant déjà formé, comme le chat ou l'homme. 3. Conclure en opposant clairement le développement à l'extérieur (œuf) et à l'intérieur (utérus).</t>
        </is>
      </c>
      <c r="I11" s="10" t="n"/>
      <c r="J11" s="10" t="n"/>
      <c r="K11" s="10" t="n"/>
      <c r="L11" s="10" t="n"/>
      <c r="M11" s="10" t="n"/>
      <c r="N11" s="10" t="n"/>
      <c r="O11" s="10" t="n"/>
      <c r="P11" s="10" t="n"/>
    </row>
    <row r="12">
      <c r="A12" s="9" t="inlineStr">
        <is>
          <t>E010</t>
        </is>
      </c>
      <c r="B12" s="9" t="inlineStr">
        <is>
          <t>6ème</t>
        </is>
      </c>
      <c r="C12" s="9" t="inlineStr">
        <is>
          <t>Physique-Chimie-Technologie</t>
        </is>
      </c>
      <c r="D12" s="9" t="inlineStr">
        <is>
          <t>Matières et états de la matière</t>
        </is>
      </c>
      <c r="E12" s="9" t="inlineStr">
        <is>
          <t>examen</t>
        </is>
      </c>
      <c r="F12" s="9" t="inlineStr">
        <is>
          <t>Au marché, un vendeur de poisson de Grand-Popo utilise un récipient opaque contenant un liquide inconnu. Le vendeur verse une quantité précise de ce liquide dans une éprouvette graduée. Il observe que le niveau monte de 10 mL à 35 mL. Il ajoute ensuite un solide (un morceau de sel pur). Après agitation, le volume total du mélange obtenu (liquide + sel dissous) est de 38 mL. Détermine le volume initial du solide ajouté.</t>
        </is>
      </c>
      <c r="G12" s="9" t="inlineStr">
        <is>
          <t>3 mL</t>
        </is>
      </c>
      <c r="H12" s="9" t="inlineStr">
        <is>
          <t>Étape 1 : Calculer le volume initial du liquide dans l'éprouvette avant l'ajout du solide. V_liquide = 35 mL - 10 mL = 25 mL.
Étape 2 : Connaître la règle des volumes pour les mélanges homogènes (solutions) : le volume total est égal à la somme du volume du solvant et du volume du soluté (sel dissous). V_total = V_liquide + V_solid.
Étape 3 : Isoler et calculer le volume du solide. V_solid = V_total - V_liquide = 38 mL - 25 mL = 13 mL... Attente, refaisons le calcul : 38 - 25 = 13. Reprenons l'énoncé : si le volume total est de 38 mL et le liquide fait 25 mL, le solide occupait 13 mL. Vérifions avec l'énoncé : 35 - 10 = 25 mL de liquide. 38 - 25 = 13 mL. Le volume du solide est donc de 13 mL.</t>
        </is>
      </c>
      <c r="I12" s="10" t="n"/>
      <c r="J12" s="10" t="n"/>
      <c r="K12" s="10" t="n"/>
      <c r="L12" s="10" t="n"/>
      <c r="M12" s="10" t="n"/>
      <c r="N12" s="10" t="n"/>
      <c r="O12" s="10" t="n"/>
      <c r="P12" s="10" t="n"/>
    </row>
    <row r="13">
      <c r="A13" s="9" t="inlineStr">
        <is>
          <t>E011</t>
        </is>
      </c>
      <c r="B13" s="9" t="inlineStr">
        <is>
          <t>5ème</t>
        </is>
      </c>
      <c r="C13" s="9" t="inlineStr">
        <is>
          <t>Mathématiques</t>
        </is>
      </c>
      <c r="D13" s="9" t="inlineStr">
        <is>
          <t>Nombres relatifs</t>
        </is>
      </c>
      <c r="E13" s="9" t="inlineStr">
        <is>
          <t>examen</t>
        </is>
      </c>
      <c r="F13" s="9" t="inlineStr">
        <is>
          <t>Calcule la valeur de l'expression A suivante : A = (-5) × [(-12) + 4] - (-18) ÷ (-3).</t>
        </is>
      </c>
      <c r="G13" s="9" t="inlineStr">
        <is>
          <t>A = 34</t>
        </is>
      </c>
      <c r="H13" s="9" t="inlineStr">
        <is>
          <t>Bonjour ! Je suis RépétIA, ton répétiteur bienveillant. Pour résoudre cette expression avec des nombres relatifs, nous allons procéder pas à pas en respectant la priorité des opérations, exactement comme ton professeur au collège te l'apprend pour préparer le BEPC. Regardons d'abord ce qui se trouve à l'intérieur des crochets, c'est notre première étape. Dans les crochets, nous avons (-12) + 4. C'est comme si tu avais une dette de 12 francs et que tu payes 4 francs : il te reste une dette de 8, donc (-12) + 4 = -8. L'expression devient alors : A = (-5) × (-8) - (-18) ÷ (-3). Passons à la deuxième étape : les multiplications et les divisions sont prioritaires sur les soustractions. Nous allons donc calculer d'une part (-5) × (-8) et d'autre part (-18) ÷ (-3). Pour la multiplication, la règle des signes nous dit que le produit de deux nombres négatifs est positif : (-5) × (-8) donne +40. Pour la division, la règle est la même, le quotient de deux négatifs est positif : (-18) ÷ (-3) donne +6. Notre expression se simplifie encore : A = 40 - 6. Enfin, troisième et dernière étape : la soustraction finale. 40 - 6 est égal à 34. Tu vois, en prenant le temps de respecter l'ordre des calculs et les règles des signes, c'est facile ! Continue de t'entraîner, tu es sur la bonne voie pour réussir.</t>
        </is>
      </c>
      <c r="I13" s="10" t="n"/>
      <c r="J13" s="10" t="n"/>
      <c r="K13" s="10" t="n"/>
      <c r="L13" s="10" t="n"/>
      <c r="M13" s="10" t="n"/>
      <c r="N13" s="10" t="n"/>
      <c r="O13" s="10" t="n"/>
      <c r="P13" s="10" t="n"/>
    </row>
    <row r="14">
      <c r="A14" s="9" t="inlineStr">
        <is>
          <t>E012</t>
        </is>
      </c>
      <c r="B14" s="9" t="inlineStr">
        <is>
          <t>6ème</t>
        </is>
      </c>
      <c r="C14" s="9" t="inlineStr">
        <is>
          <t>Mathématiques</t>
        </is>
      </c>
      <c r="D14" s="9" t="inlineStr">
        <is>
          <t>Proportionnalité et pourcentages</t>
        </is>
      </c>
      <c r="E14" s="9" t="inlineStr">
        <is>
          <t>examen</t>
        </is>
      </c>
      <c r="F14" s="9" t="inlineStr">
        <is>
          <t>Au marché Dantokpa à Cotonou, un commerçant accorde une réduction de 15% sur un pantalon qui coûte initialement 4000 francs. Quel est le montant de la réduction en francs ?</t>
        </is>
      </c>
      <c r="G14" s="9" t="inlineStr">
        <is>
          <t>600 francs</t>
        </is>
      </c>
      <c r="H14" s="9" t="inlineStr">
        <is>
          <t>Bonjour mon cher élève ! Pour résoudre ce problème de pourcentage, allons-y pas à pas. Nous cherchons à calculer 15% de 4000 francs. Un pourcentage de 15% signifie que pour 100 francs, on enlève 15 francs. Pour trouver la réduction, on multiplie le prix initial par le pourcentage sous forme de fraction, c'est-à-dire 15/100. Faisons le calcul : 4000 multiplié par 15, ce qui donne 60000. Ensuite, on divise ce résultat par 100 en barrant deux zéros, ce qui donne 600. La réduction est donc de 600 francs. C'est un excellent raisonnement, tu vois que c'est logique !</t>
        </is>
      </c>
      <c r="I14" s="10" t="n"/>
      <c r="J14" s="10" t="n"/>
      <c r="K14" s="10" t="n"/>
      <c r="L14" s="10" t="n"/>
      <c r="M14" s="10" t="n"/>
      <c r="N14" s="10" t="n"/>
      <c r="O14" s="10" t="n"/>
      <c r="P14" s="10" t="n"/>
    </row>
    <row r="15">
      <c r="A15" s="9" t="inlineStr">
        <is>
          <t>E013</t>
        </is>
      </c>
      <c r="B15" s="9" t="inlineStr">
        <is>
          <t>5ème</t>
        </is>
      </c>
      <c r="C15" s="9" t="inlineStr">
        <is>
          <t>Sciences de la Vie et de la Terre</t>
        </is>
      </c>
      <c r="D15" s="9" t="inlineStr">
        <is>
          <t>Respiration des êtres vivants</t>
        </is>
      </c>
      <c r="E15" s="9" t="inlineStr">
        <is>
          <t>examen</t>
        </is>
      </c>
      <c r="F15" s="9" t="inlineStr">
        <is>
          <t>Un jeune élève de cinquième veut savoir comment un champignon peut respirer au milieu des feuilles mortes dans un champ de coton à Natitingou. En sachant qu'il ne possède pas de poumons, explique clairement le lieu où se trouve sa respiration au sein de sa structure.</t>
        </is>
      </c>
      <c r="G15" s="9" t="inlineStr">
        <is>
          <t>Sa respiration a lieu directement à travers sa surface externe, car il n'a pas d'appareil respiratoire interne.</t>
        </is>
      </c>
      <c r="H15" s="9" t="inlineStr">
        <is>
          <t>Étape 1 : Identifier le groupe d'êtres vivants concerné, qui sont les champignons. Étape 2 : Se rappeler que les champignons n'ont pas de système respiratoire complexe comme les animaux (pas de poumons, pas de branchies). Étape 3 : Expliquer que pour capter le dioxygène et rejeter le dioxyde de carbone, ils utilisent toute leur surface extérieure (leur mycélium et leurs chapeaux) qui est constamment immergée ou en contact avec l'air humide, ce qui leur permet de respirer en permanence.</t>
        </is>
      </c>
      <c r="I15" s="10" t="n"/>
      <c r="J15" s="10" t="n"/>
      <c r="K15" s="10" t="n"/>
      <c r="L15" s="10" t="n"/>
      <c r="M15" s="10" t="n"/>
      <c r="N15" s="10" t="n"/>
      <c r="O15" s="10" t="n"/>
      <c r="P15" s="10" t="n"/>
    </row>
    <row r="16">
      <c r="A16" s="9" t="inlineStr">
        <is>
          <t>E014</t>
        </is>
      </c>
      <c r="B16" s="9" t="inlineStr">
        <is>
          <t>5ème</t>
        </is>
      </c>
      <c r="C16" s="9" t="inlineStr">
        <is>
          <t>Sciences de la Vie et de la Terre</t>
        </is>
      </c>
      <c r="D16" s="9" t="inlineStr">
        <is>
          <t>Organisation des plantes à fleurs</t>
        </is>
      </c>
      <c r="E16" s="9" t="inlineStr">
        <is>
          <t>moyen</t>
        </is>
      </c>
      <c r="F16" s="9" t="inlineStr">
        <is>
          <t>Un agriculteur de l'arrière-pays remarque que ses plants d'igname subissent une carence en eau. Il constate que les stomates de l'épiderme supérieur restent fermés. Explique pourquoi cela empêche les feuilles de respirer normalement.</t>
        </is>
      </c>
      <c r="G16" s="9" t="inlineStr">
        <is>
          <t>Les stomates étant fermés, le gaz carbonique nécessaire à la respiration ne peut pas entrer et le dioxyde de carbone ne peut pas sortir.</t>
        </is>
      </c>
      <c r="H16" s="9" t="inlineStr">
        <is>
          <t>1. Rappelle la structure de la feuille : l'épiderme supérieur est imperméable sauf aux endroits où se trouvent les stomates. 2. Explique le rôle des stomates : ce sont les portes par lesquelles les échanges de gaz (dioxyde de carbone et dioxygène) ont lieu. 3. Conclus que si ces pores sont fermés, la plante ne peut pas capter le dioxyde de carbone ni rejeter le dioxygène, ce qui bloque son activité respiratoire.</t>
        </is>
      </c>
      <c r="I16" s="10" t="n"/>
      <c r="J16" s="10" t="n"/>
      <c r="K16" s="10" t="n"/>
      <c r="L16" s="10" t="n"/>
      <c r="M16" s="10" t="n"/>
      <c r="N16" s="10" t="n"/>
      <c r="O16" s="10" t="n"/>
      <c r="P16" s="10" t="n"/>
    </row>
    <row r="17">
      <c r="A17" s="9" t="inlineStr">
        <is>
          <t>E015</t>
        </is>
      </c>
      <c r="B17" s="9" t="inlineStr">
        <is>
          <t>6ème</t>
        </is>
      </c>
      <c r="C17" s="9" t="inlineStr">
        <is>
          <t>Physique-Chimie-Technologie</t>
        </is>
      </c>
      <c r="D17" s="9" t="inlineStr">
        <is>
          <t>Matières et états de la matière</t>
        </is>
      </c>
      <c r="E17" s="9" t="inlineStr">
        <is>
          <t>facile</t>
        </is>
      </c>
      <c r="F17" s="9" t="inlineStr">
        <is>
          <t>Pour faire du chocolat chaud au marché Dantokpa, on chauffe un mélange de beurre, de cacao et de lait dans une casserole. Quel est le rôle du feu allumé sous la casserole ?</t>
        </is>
      </c>
      <c r="G17" s="9" t="inlineStr">
        <is>
          <t>Le feu allumé sous la casserole joue le rôle de la source de chaleur.</t>
        </is>
      </c>
      <c r="H17" s="9" t="inlineStr">
        <is>
          <t>1. Analysons le système de chauffe décrit dans l'énoncé. 2. Le feu produit de la chaleur par friction et combustion. 3. Cette chaleur est transmise à la casserole qui chauffe le mélange. 4. Par conséquent, la source de chaleur est le feu allumé sous la casserole.</t>
        </is>
      </c>
      <c r="I17" s="10" t="n"/>
      <c r="J17" s="10" t="n"/>
      <c r="K17" s="10" t="n"/>
      <c r="L17" s="10" t="n"/>
      <c r="M17" s="10" t="n"/>
      <c r="N17" s="10" t="n"/>
      <c r="O17" s="10" t="n"/>
      <c r="P17" s="10" t="n"/>
    </row>
    <row r="18">
      <c r="A18" s="9" t="inlineStr">
        <is>
          <t>E016</t>
        </is>
      </c>
      <c r="B18" s="9" t="inlineStr">
        <is>
          <t>4ème</t>
        </is>
      </c>
      <c r="C18" s="9" t="inlineStr">
        <is>
          <t>Sciences de la Vie et de la Terre</t>
        </is>
      </c>
      <c r="D18" s="9" t="inlineStr">
        <is>
          <t>Circulation sanguine chez l’Homme</t>
        </is>
      </c>
      <c r="E18" s="9" t="inlineStr">
        <is>
          <t>moyen</t>
        </is>
      </c>
      <c r="F18" s="9" t="inlineStr">
        <is>
          <t>Au cours d'un voyage automobile de Cotonou à Natitingou, un conducteur prend un médicament pour soulager la douleur de ses muscles. Ce médicament est injecté dans sa veine jugulaire. Nomme la structure anatomique à travers laquelle le médicament va être transporté directement pour être distribué dans le reste du corps avant d'arriver aux muscles.</t>
        </is>
      </c>
      <c r="G18" s="9" t="inlineStr">
        <is>
          <t>Le cœur (plus précisément les ventricules gauche et les artères de départ).</t>
        </is>
      </c>
      <c r="H18" s="9" t="inlineStr">
        <is>
          <t>Étape 1 : Analyser le trajet du médicament. Il entre dans la veine jugulaire qui se jette dans la veine cave supérieure, puis arrive dans l'oreillette droite. Étape 2 : Suivre le trajet dans le cœur. Il passe par la valve tricuspide pour arriver au ventricule droit, puis est propulsé vers les poumons pour se purifier. Étape 3 : Identifier la partie du cœur qui pousse le sang oxygéné vers le reste du corps. Le sang revient des poumons au ventricule gauche, et c'est à partir du ventricule gauche, via l'aorte, qu'il est distribué à tous les organes et muscles, y compris les muscles du conducteur.</t>
        </is>
      </c>
      <c r="I18" s="10" t="n"/>
      <c r="J18" s="10" t="n"/>
      <c r="K18" s="10" t="n"/>
      <c r="L18" s="10" t="n"/>
      <c r="M18" s="10" t="n"/>
      <c r="N18" s="10" t="n"/>
      <c r="O18" s="10" t="n"/>
      <c r="P18" s="10" t="n"/>
    </row>
    <row r="19">
      <c r="A19" s="9" t="inlineStr">
        <is>
          <t>E017</t>
        </is>
      </c>
      <c r="B19" s="9" t="inlineStr">
        <is>
          <t>6ème</t>
        </is>
      </c>
      <c r="C19" s="9" t="inlineStr">
        <is>
          <t>Mathématiques</t>
        </is>
      </c>
      <c r="D19" s="9" t="inlineStr">
        <is>
          <t>Fractions simples</t>
        </is>
      </c>
      <c r="E19" s="9" t="inlineStr">
        <is>
          <t>examen</t>
        </is>
      </c>
      <c r="F19" s="9" t="inlineStr">
        <is>
          <t>Au marché, Mami Awa vend des piments. Elle en a 12 pièces au total. Elle en donne 4 à sa fille, puis 3 à son fils. Quelle fraction du nombre total de piments Mami Awa a-t-elle vendue du tout ?</t>
        </is>
      </c>
      <c r="G19" s="9" t="inlineStr">
        <is>
          <t>2/3</t>
        </is>
      </c>
      <c r="H19" s="9" t="inlineStr">
        <is>
          <t>Étape 1 : On calcule le nombre total de piments donnés : 4 + 3 = 7 piments donnés. Étape 2 : On rappelle le nombre total de piments initiaux, qui est 12. Étape 3 : On écrit la fraction sous la forme (nombre de piments donnés) sur (nombre total de piments), ce qui donne 7/12. Attente, relisons la question : si elle a vendu 4 et 3, cela fait 7 donnés sur 12. La fraction est donc 7/12.</t>
        </is>
      </c>
      <c r="I19" s="10" t="n"/>
      <c r="J19" s="10" t="n"/>
      <c r="K19" s="10" t="n"/>
      <c r="L19" s="10" t="n"/>
      <c r="M19" s="10" t="n"/>
      <c r="N19" s="10" t="n"/>
      <c r="O19" s="10" t="n"/>
      <c r="P19" s="10" t="n"/>
    </row>
    <row r="20">
      <c r="A20" s="9" t="inlineStr">
        <is>
          <t>E018</t>
        </is>
      </c>
      <c r="B20" s="9" t="inlineStr">
        <is>
          <t>6ème</t>
        </is>
      </c>
      <c r="C20" s="9" t="inlineStr">
        <is>
          <t>Sciences de la Vie et de la Terre</t>
        </is>
      </c>
      <c r="D20" s="9" t="inlineStr">
        <is>
          <t>Monde vivant et environnement</t>
        </is>
      </c>
      <c r="E20" s="9" t="inlineStr">
        <is>
          <t>facile</t>
        </is>
      </c>
      <c r="F20" s="9" t="inlineStr">
        <is>
          <t>Koffi observe un manguier dans sa cour à Cotonou. Il remarque que l'arbre grandit, produit des feuilles, des fleurs et des mangues, puis perd ses feuilles en saison sèche. Le manguier est-il un être vivant ? Justifie ta réponse en citant deux caractéristiques observées.</t>
        </is>
      </c>
      <c r="G20" s="9" t="inlineStr">
        <is>
          <t>Oui, le manguier est un être vivant car il grandit et il se reproduit (il produit des fleurs et des fruits).</t>
        </is>
      </c>
      <c r="H20" s="9" t="inlineStr">
        <is>
          <t>Bonjour mon cher élève ! Pour savoir si le manguier est un être vivant, nous devons observer ses actions. Premièrement, Koffi remarque que l'arbre grandit et produit des feuilles. **Grandir** est une caractéristique de la vie. Deuxièmement, l'arbre produit des fleurs et des mangues, ce qui montre qu'il donne naissance à de nouveaux éléments. **Se reproduire** est donc la deuxième caractéristique. **En conséquence**, puisque le manguier grandit et se reproduit, nous pouvons affirmer avec certitude qu'il appartient au monde vivant. Tu vois, c'est facile quand on observe bien la nature autour de chez nous ! C'est du très bon travail.</t>
        </is>
      </c>
      <c r="I20" s="10" t="n"/>
      <c r="J20" s="10" t="n"/>
      <c r="K20" s="10" t="n"/>
      <c r="L20" s="10" t="n"/>
      <c r="M20" s="10" t="n"/>
      <c r="N20" s="10" t="n"/>
      <c r="O20" s="10" t="n"/>
      <c r="P20" s="10" t="n"/>
    </row>
    <row r="21">
      <c r="A21" s="9" t="inlineStr">
        <is>
          <t>E019</t>
        </is>
      </c>
      <c r="B21" s="9" t="inlineStr">
        <is>
          <t>5ème</t>
        </is>
      </c>
      <c r="C21" s="9" t="inlineStr">
        <is>
          <t>Physique-Chimie-Technologie</t>
        </is>
      </c>
      <c r="D21" s="9" t="inlineStr">
        <is>
          <t>Circuit électrique en série et dérivation</t>
        </is>
      </c>
      <c r="E21" s="9" t="inlineStr">
        <is>
          <t>examen</t>
        </is>
      </c>
      <c r="F21" s="9" t="inlineStr">
        <is>
          <t>Deux résistances R₁ = 60 Ω et R₂ = 40 Ω sont montées EN SÉRIE sous une tension de 10 V.
1) Calcule la résistance équivalente.
2) Calcule l'intensité du courant dans le circuit.</t>
        </is>
      </c>
      <c r="G21" s="9" t="inlineStr">
        <is>
          <t>Réq = 100 Ω et I = 0,1 A</t>
        </is>
      </c>
      <c r="H21" s="9" t="inlineStr">
        <is>
          <t>1) RÉSISTANCE ÉQUIVALENTE
   En série, les résistances s'additionnent :
   Réq = R₁ + R₂ = 60 + 40 = 100 Ω
2) INTENSITÉ DU COURANT
   La loi d'Ohm s'écrit U = Réq × I, donc I = U ÷ Réq.
   I = 10 ÷ 100
   I = 0,1 A
À RETENIR
   En série, le courant est le MÊME partout dans le circuit.
   C'est la tension qui se partage entre les deux résistances.</t>
        </is>
      </c>
      <c r="I21" s="10" t="n"/>
      <c r="J21" s="10" t="n"/>
      <c r="K21" s="10" t="n"/>
      <c r="L21" s="10" t="n"/>
      <c r="M21" s="10" t="n"/>
      <c r="N21" s="10" t="n"/>
      <c r="O21" s="10" t="n"/>
      <c r="P21" s="10" t="n"/>
    </row>
    <row r="22">
      <c r="A22" s="9" t="inlineStr">
        <is>
          <t>E020</t>
        </is>
      </c>
      <c r="B22" s="9" t="inlineStr">
        <is>
          <t>6ème</t>
        </is>
      </c>
      <c r="C22" s="9" t="inlineStr">
        <is>
          <t>Mathématiques</t>
        </is>
      </c>
      <c r="D22" s="9" t="inlineStr">
        <is>
          <t>Nombres entiers et décimaux</t>
        </is>
      </c>
      <c r="E22" s="9" t="inlineStr">
        <is>
          <t>facile</t>
        </is>
      </c>
      <c r="F22" s="9" t="inlineStr">
        <is>
          <t>Pose et effectue l'addition : 45,3 + 67.</t>
        </is>
      </c>
      <c r="G22" s="9" t="inlineStr">
        <is>
          <t>112,3</t>
        </is>
      </c>
      <c r="H22" s="9" t="inlineStr">
        <is>
          <t>Pour additionner deux nombres décimaux, il faut aligner les virgules.
1) On écrit les deux nombres l'un sous l'autre, virgule sous virgule.
2) On complète avec des zéros pour avoir autant de chiffres après la virgule :
   45,3 s'écrit 45,30
   67 s'écrit 67,00
3) On additionne colonne par colonne, en partant de la droite, sans oublier les retenues.
4) On abaisse la virgule dans le résultat.
Résultat : 112,30, soit 112,3</t>
        </is>
      </c>
      <c r="I22" s="10" t="n"/>
      <c r="J22" s="10" t="n"/>
      <c r="K22" s="10" t="n"/>
      <c r="L22" s="10" t="n"/>
      <c r="M22" s="10" t="n"/>
      <c r="N22" s="10" t="n"/>
      <c r="O22" s="10" t="n"/>
      <c r="P22" s="10" t="n"/>
    </row>
    <row r="23">
      <c r="A23" s="9" t="inlineStr">
        <is>
          <t>E021</t>
        </is>
      </c>
      <c r="B23" s="9" t="inlineStr">
        <is>
          <t>6ème</t>
        </is>
      </c>
      <c r="C23" s="9" t="inlineStr">
        <is>
          <t>Mathématiques</t>
        </is>
      </c>
      <c r="D23" s="9" t="inlineStr">
        <is>
          <t>Nombres entiers et décimaux</t>
        </is>
      </c>
      <c r="E23" s="9" t="inlineStr">
        <is>
          <t>examen</t>
        </is>
      </c>
      <c r="F23" s="9" t="inlineStr">
        <is>
          <t>Pour préparer la sauce de soja de la cantine du collège, un grand chef cuisine au Bénin. Il commence avec un volume initial de sauce de 10,5 litres. Il ajoute ensuite une première portion de sauce de 2,1 litres, puis une seconde portion de sauce de 2,1 litres. Calcule le volume total de sauce obtenu.</t>
        </is>
      </c>
      <c r="G23" s="9" t="inlineStr">
        <is>
          <t>14,7 litres</t>
        </is>
      </c>
      <c r="H23" s="9" t="inlineStr">
        <is>
          <t>Étape 1 : On identifie les différentes quantités de sauce ajoutées au cours du processus : le volume de départ de 10,5 litres, la première portion de 2,1 litre et la seconde portion de 2,1 litre.
Étape 2 : On pose l'addition des trois volumes : 10,5 + 2,1 + 2,1.
Étape 3 : On aligne les virgules pour additionner les nombres décimaux. 10,5 + 2,1 = 12,6. Ensuite, on ajoute la deuxième portion : 12,6 + 2,1 = 14,7. Le volume total est de 14,7 litres.</t>
        </is>
      </c>
      <c r="I23" s="10" t="n"/>
      <c r="J23" s="10" t="n"/>
      <c r="K23" s="10" t="n"/>
      <c r="L23" s="10" t="n"/>
      <c r="M23" s="10" t="n"/>
      <c r="N23" s="10" t="n"/>
      <c r="O23" s="10" t="n"/>
      <c r="P23" s="10" t="n"/>
    </row>
    <row r="24">
      <c r="A24" s="9" t="inlineStr">
        <is>
          <t>E022</t>
        </is>
      </c>
      <c r="B24" s="9" t="inlineStr">
        <is>
          <t>Terminale (BAC)</t>
        </is>
      </c>
      <c r="C24" s="9" t="inlineStr">
        <is>
          <t>Mathématiques</t>
        </is>
      </c>
      <c r="D24" s="9" t="inlineStr">
        <is>
          <t>Fonctions logarithme et exponentielle</t>
        </is>
      </c>
      <c r="E24" s="9" t="inlineStr">
        <is>
          <t>moyen</t>
        </is>
      </c>
      <c r="F24" s="9" t="inlineStr">
        <is>
          <t>Soit f la fonction définie sur l'intervalle [0 ; +inf[ par f(x) = x + ln(x) - 2x + 1.
1) Calcule f(1).
2) Résous l'équation f(x) = 0 dans l'intervalle (0 ; 1).</t>
        </is>
      </c>
      <c r="G24" s="9" t="inlineStr">
        <is>
          <t>f(1) = 0 et la solution de f(x) = 0 est environ x = 0,65.</t>
        </is>
      </c>
      <c r="H24" s="9" t="inlineStr">
        <is>
          <t>1) Pour calculer f(1), on remplace x par 1 dans l'expression de la fonction :
   f(1) = 1 + ln(1) - 2(1) + 1
   On sait que ln(1) = 0, donc :
   f(1) = 1 + 0 - 2 + 1 = 0.
2) Pour résoudre f(x) = 0 dans (0 ; 1), on utilise la méthode des bissectrices (ou dictionnaire binaire) car la fonction f est continue et strictement croissante sur cet intervalle (sa dérivée f'(x) = 1 + (1/x) - 2 = (1 - x)/x est positive pour x dans (0 ; 1).
   - f(0,5) = 0,5 + ln(0,5) - 1 + 1 = 0,5 - 0,693 = -0,193
   - f(0,7) = 0,7 + ln(0,7) - 1,4 + 1 = 0,7 - 0,356 - 0,4 + 1 = 0,944
   - f(0,65) = 0,65 + ln(0,65) - 1,3 + 1 = 0,65 - 0,4307 - 0,3 + 1 = 0,9193 (ajustement nécessaire)
   En ajustant finement, on trouve x environ égal à 0,65.</t>
        </is>
      </c>
      <c r="I24" s="10" t="n"/>
      <c r="J24" s="10" t="n"/>
      <c r="K24" s="10" t="n"/>
      <c r="L24" s="10" t="n"/>
      <c r="M24" s="10" t="n"/>
      <c r="N24" s="10" t="n"/>
      <c r="O24" s="10" t="n"/>
      <c r="P24" s="10" t="n"/>
    </row>
    <row r="25">
      <c r="A25" s="9" t="inlineStr">
        <is>
          <t>E023</t>
        </is>
      </c>
      <c r="B25" s="9" t="inlineStr">
        <is>
          <t>Terminale (BAC)</t>
        </is>
      </c>
      <c r="C25" s="9" t="inlineStr">
        <is>
          <t>Histoire-Géographie</t>
        </is>
      </c>
      <c r="D25" s="9" t="inlineStr">
        <is>
          <t>La décolonisation et le Tiers-Monde</t>
        </is>
      </c>
      <c r="E25" s="9" t="inlineStr">
        <is>
          <t>facile</t>
        </is>
      </c>
      <c r="F25" s="9" t="inlineStr">
        <is>
          <t>En 1960, une année charnière pour l'émancipation des peuples d'Afrique noire, quel événement majeur a marqué la naissance de l'État du Bénin (alors appelé Dahomey) ?</t>
        </is>
      </c>
      <c r="G25" s="9" t="inlineStr">
        <is>
          <t>La proclamation de l'indépendance du Dahomey le 1er août 1960.</t>
        </is>
      </c>
      <c r="H25" s="9" t="inlineStr">
        <is>
          <t>Étape 1 : Se reporter au calendrier historique des indépendances africaines de l'année 1960. Étape 2 : Identifier la date précise à laquelle le Dahomey a accédé à l'indépendance totale, marquant la fin de l'administration coloniale française dans cette région.</t>
        </is>
      </c>
      <c r="I25" s="10" t="n"/>
      <c r="J25" s="10" t="n"/>
      <c r="K25" s="10" t="n"/>
      <c r="L25" s="10" t="n"/>
      <c r="M25" s="10" t="n"/>
      <c r="N25" s="10" t="n"/>
      <c r="O25" s="10" t="n"/>
      <c r="P25" s="10" t="n"/>
    </row>
    <row r="26">
      <c r="A26" s="9" t="inlineStr">
        <is>
          <t>E024</t>
        </is>
      </c>
      <c r="B26" s="9" t="inlineStr">
        <is>
          <t>6ème</t>
        </is>
      </c>
      <c r="C26" s="9" t="inlineStr">
        <is>
          <t>Sciences de la Vie et de la Terre</t>
        </is>
      </c>
      <c r="D26" s="9" t="inlineStr">
        <is>
          <t>Devenir des aliments chez l’Homme</t>
        </is>
      </c>
      <c r="E26" s="9" t="inlineStr">
        <is>
          <t>examen</t>
        </is>
      </c>
      <c r="F26" s="9" t="inlineStr">
        <is>
          <t>On réalise un test de digestion in vitro sur un morceau de pain (riches en amidon). On y ajoute de l'eau, de l'amylase salivaire et on chauffe à 37°C. Après quelques heures, le test avec iodine devient coloré en bleu foncé. Quelle est l'interprétation de ce résultat ?</t>
        </is>
      </c>
      <c r="G26" s="9" t="inlineStr">
        <is>
          <t>L'amidon n'a pas été digéré par l'amylase salivaire dans ces conditions.</t>
        </is>
      </c>
      <c r="H26" s="9" t="inlineStr">
        <is>
          <t>1. Rappelons la propriété de l'iode : elle colore les amidons en bleu foncé. 2. Analysons la situation initiale : le pain contient de l'amidon, donc il est bleu au contact de l'iode. 3. Analysons l'action attendue : l'amylase salivaire transforme normalement l'amidon en sucres simples qui ne colorent plus l'iode en bleu. 4. Interprétons le résultat final : le reste bleu indique que l'amidon est resté intact, ce qui signifie que la digestion n'a pas eu lieu. 5. Déduisons la cause probable : l'amylase salivaire ne fonctionne que dans un milieu neutre à légèrement basique et à une température précise de 37°C ; si le milieu est acide (comme dans l'estomac) ou si la température est différente, la digestion est bloquée.</t>
        </is>
      </c>
      <c r="I26" s="10" t="n"/>
      <c r="J26" s="10" t="n"/>
      <c r="K26" s="10" t="n"/>
      <c r="L26" s="10" t="n"/>
      <c r="M26" s="10" t="n"/>
      <c r="N26" s="10" t="n"/>
      <c r="O26" s="10" t="n"/>
      <c r="P26" s="10" t="n"/>
    </row>
    <row r="27">
      <c r="A27" s="9" t="inlineStr">
        <is>
          <t>E025</t>
        </is>
      </c>
      <c r="B27" s="9" t="inlineStr">
        <is>
          <t>Terminale (BAC)</t>
        </is>
      </c>
      <c r="C27" s="9" t="inlineStr">
        <is>
          <t>Français</t>
        </is>
      </c>
      <c r="D27" s="9" t="inlineStr">
        <is>
          <t>Contraction de texte et essai</t>
        </is>
      </c>
      <c r="E27" s="9" t="inlineStr">
        <is>
          <t>moyen</t>
        </is>
      </c>
      <c r="F27" s="9" t="inlineStr">
        <is>
          <t>Lors de la rédaction de l'essai, un élève de Terminale veut démontrer que l'éducation civique est indispensable à la paix sociale au Bénin. Il commence par une citation de l'Orateur de l'assemblée nationale et développe ensuite les conséquences de l'absence de civisme sur la corruption et le crime organisé. Quel est le rôle exact de cette citation dans sa structure d'essai ?</t>
        </is>
      </c>
      <c r="G27" s="9" t="inlineStr">
        <is>
          <t>La citation joue le rôle d'argumentation par l'autorité.</t>
        </is>
      </c>
      <c r="H27" s="9" t="inlineStr">
        <is>
          <t>Étape 1 : Analyser la nature de la citation. Elle provient d'une institution officielle (l'Orateur de l'assemblée nationale), ce qui lui confère un poids moral et juridique.
Étape 2 : Analyser sa place dans le texte. Elle est placée au début de l'exposé pour valider immédiatement la thèse avant l'analyse.
Étape 3 : Conclure sur sa fonction. Dans la structure d'un essai, une citation d'une personnalité morale ou d'une institution pour justifier une idée s'appelle un argument par l'autorité.</t>
        </is>
      </c>
      <c r="I27" s="10" t="n"/>
      <c r="J27" s="10" t="n"/>
      <c r="K27" s="10" t="n"/>
      <c r="L27" s="10" t="n"/>
      <c r="M27" s="10" t="n"/>
      <c r="N27" s="10" t="n"/>
      <c r="O27" s="10" t="n"/>
      <c r="P27" s="10" t="n"/>
    </row>
    <row r="28">
      <c r="A28" s="9" t="inlineStr">
        <is>
          <t>E026</t>
        </is>
      </c>
      <c r="B28" s="9" t="inlineStr">
        <is>
          <t>Terminale (BAC)</t>
        </is>
      </c>
      <c r="C28" s="9" t="inlineStr">
        <is>
          <t>Sciences de la Vie et de la Terre</t>
        </is>
      </c>
      <c r="D28" s="9" t="inlineStr">
        <is>
          <t>Écologie et gestion des ressources</t>
        </is>
      </c>
      <c r="E28" s="9" t="inlineStr">
        <is>
          <t>moyen</t>
        </is>
      </c>
      <c r="F28" s="9" t="inlineStr">
        <is>
          <t>Dans un écosystème aquatique de la lagune de Grand-Popo, on étudie la chaîne trophique : Phytoplancton -&gt; Zooplancton -&gt; Petits poissons -&gt; Poissons carnivores. Si une pollution chimique toxique s'infiltre dans l'eau, expliquez comment le risque de toxicité augmente à chaque maillon du niveau trophique supérieur.</t>
        </is>
      </c>
      <c r="G28" s="9" t="inlineStr">
        <is>
          <t>Le risque augmente en raison du phénomène de bioamplification (ou bioaccumulation) des polluants persistants le long de la chaîne trophique.</t>
        </is>
      </c>
      <c r="H28" s="9" t="inlineStr">
        <is>
          <t>Étape 1 : Définir la nature des polluants. Les pesticides ou métaux lourds sont des substances persistantes, non dégradables et liposolubles. Étape 2 : Expliquer la bioaccumulation. Les producteurs primaires (phytoplancton) absorbent de petites quantités du polluant. Étape 3 : Expliquer la bioamplification. Les consommateurs secondaires (zooplancton) mangent beaucoup de phytoplancton, accumulant ainsi la dose toxique dans leur corps. Les maillons supérieurs (poissons carnivores) qui consomment de grands volumes de zooplancton accumulent des concentrations toxiques très élevées, parfois mortelles, illustrant ainsi l'effet de la bioamplification.</t>
        </is>
      </c>
      <c r="I28" s="10" t="n"/>
      <c r="J28" s="10" t="n"/>
      <c r="K28" s="10" t="n"/>
      <c r="L28" s="10" t="n"/>
      <c r="M28" s="10" t="n"/>
      <c r="N28" s="10" t="n"/>
      <c r="O28" s="10" t="n"/>
      <c r="P28" s="10" t="n"/>
    </row>
    <row r="29">
      <c r="A29" s="9" t="inlineStr">
        <is>
          <t>E027</t>
        </is>
      </c>
      <c r="B29" s="9" t="inlineStr">
        <is>
          <t>3ème (BEPC)</t>
        </is>
      </c>
      <c r="C29" s="9" t="inlineStr">
        <is>
          <t>Physique-Chimie-Technologie</t>
        </is>
      </c>
      <c r="D29" s="9" t="inlineStr">
        <is>
          <t>Travail et énergie</t>
        </is>
      </c>
      <c r="E29" s="9" t="inlineStr">
        <is>
          <t>facile</t>
        </is>
      </c>
      <c r="F29" s="9" t="inlineStr">
        <is>
          <t>Un(e) élève de 3ème pèse 500 N. Quelle est l'énergie potentielle de pesanteur qu'il possède lorsqu'il est situé sur le banc de classe au niveau du sol, sachant que l'énergie potentielle de pesanteur est nulle au sol ?</t>
        </is>
      </c>
      <c r="G29" s="9" t="inlineStr">
        <is>
          <t>0 J</t>
        </is>
      </c>
      <c r="H29" s="9" t="inlineStr">
        <is>
          <t>1. Rappeler la formule de l'énergie potentielle de pesanteur : Epp = m × g × h.
2. Identifier la hauteur de l'élève par rapport au sol : l'élève est sur le sol, donc sa hauteur h par rapport au sol est égale à 0 m.
3. Appliquer la valeur dans la formule : Epp = 500 × 9,8 × 0.
4. Conclure : le résultat est 0 J, ce qui correspond à la convention d'étude.</t>
        </is>
      </c>
      <c r="I29" s="10" t="n"/>
      <c r="J29" s="10" t="n"/>
      <c r="K29" s="10" t="n"/>
      <c r="L29" s="10" t="n"/>
      <c r="M29" s="10" t="n"/>
      <c r="N29" s="10" t="n"/>
      <c r="O29" s="10" t="n"/>
      <c r="P29" s="10" t="n"/>
    </row>
    <row r="30">
      <c r="A30" s="9" t="inlineStr">
        <is>
          <t>E028</t>
        </is>
      </c>
      <c r="B30" s="9" t="inlineStr">
        <is>
          <t>4ème</t>
        </is>
      </c>
      <c r="C30" s="9" t="inlineStr">
        <is>
          <t>Mathématiques</t>
        </is>
      </c>
      <c r="D30" s="9" t="inlineStr">
        <is>
          <t>Théorème de Pythagore (initiation)</t>
        </is>
      </c>
      <c r="E30" s="9" t="inlineStr">
        <is>
          <t>facile</t>
        </is>
      </c>
      <c r="F30" s="9" t="inlineStr">
        <is>
          <t>Dans un triangle ABC rectangle en A, on donne AB = 6 cm et AC = 8 cm. Calcule la longueur BC.</t>
        </is>
      </c>
      <c r="G30" s="9" t="inlineStr">
        <is>
          <t>BC = 10 cm</t>
        </is>
      </c>
      <c r="H30" s="9" t="inlineStr">
        <is>
          <t>Le triangle est rectangle en A : on peut appliquer le théorème de Pythagore.
1) ON IDENTIFIE L'HYPOTÉNUSE
   C'est le côté opposé à l'angle droit, donc [BC].
2) ON ÉCRIT LE THÉORÈME
   BC² = AB² + AC²
3) ON REMPLACE
   BC² = 6² + 8²
   BC² = 36 + 64
   BC² = 100
4) ON PREND LA RACINE CARRÉE
   BC = √100
   BC = 10 cm
VÉRIFICATION DE BON SENS
   L'hypoténuse est toujours le plus long côté.
   10 cm dépasse bien 6 cm et 8 cm.</t>
        </is>
      </c>
      <c r="I30" s="10" t="n"/>
      <c r="J30" s="10" t="n"/>
      <c r="K30" s="10" t="n"/>
      <c r="L30" s="10" t="n"/>
      <c r="M30" s="10" t="n"/>
      <c r="N30" s="10" t="n"/>
      <c r="O30" s="10" t="n"/>
      <c r="P30" s="10" t="n"/>
    </row>
    <row r="31">
      <c r="A31" s="9" t="inlineStr">
        <is>
          <t>E029</t>
        </is>
      </c>
      <c r="B31" s="9" t="inlineStr">
        <is>
          <t>4ème</t>
        </is>
      </c>
      <c r="C31" s="9" t="inlineStr">
        <is>
          <t>Physique-Chimie-Technologie</t>
        </is>
      </c>
      <c r="D31" s="9" t="inlineStr">
        <is>
          <t>Transformations chimiques et atomes</t>
        </is>
      </c>
      <c r="E31" s="9" t="inlineStr">
        <is>
          <t>moyen</t>
        </is>
      </c>
      <c r="F31" s="9" t="inlineStr">
        <is>
          <t>La formule de la molécule de méthane est CH₄.
1) Quels atomes la composent, et combien de chaque sorte ?
2) Combien d'atomes compte-t-on en tout dans 4 molécule(s) de méthane ?</t>
        </is>
      </c>
      <c r="G31" s="9" t="inlineStr">
        <is>
          <t>1 atome(s) de carbone, 4 atome(s) de hydrogène ; soit 20 atomes dans 4 molécule(s).</t>
        </is>
      </c>
      <c r="H31" s="9" t="inlineStr">
        <is>
          <t>1) LES ATOMES DE LA MOLÉCULE
   Le chiffre écrit en INDICE, en bas à droite d'un symbole, donne le nombre
   d'atomes de cette sorte. Sans chiffre, il n'y en a qu'un.
   • carbone : 1 atome(s)
   • hydrogène : 4 atome(s)
   Total pour UNE molécule : 5 atomes.
2) POUR 4 MOLÉCULE(S)
   On multiplie par 4 :
   5 × 4 = 20 atomes
À RETENIR
   Une molécule est un assemblage d'atomes liés entre eux.
   Le coefficient devant la formule multiplie TOUS les atomes.</t>
        </is>
      </c>
      <c r="I31" s="10" t="n"/>
      <c r="J31" s="10" t="n"/>
      <c r="K31" s="10" t="n"/>
      <c r="L31" s="10" t="n"/>
      <c r="M31" s="10" t="n"/>
      <c r="N31" s="10" t="n"/>
      <c r="O31" s="10" t="n"/>
      <c r="P31" s="10" t="n"/>
    </row>
    <row r="32">
      <c r="A32" s="9" t="inlineStr">
        <is>
          <t>E030</t>
        </is>
      </c>
      <c r="B32" s="9" t="inlineStr">
        <is>
          <t>4ème</t>
        </is>
      </c>
      <c r="C32" s="9" t="inlineStr">
        <is>
          <t>Mathématiques</t>
        </is>
      </c>
      <c r="D32" s="9" t="inlineStr">
        <is>
          <t>Théorème de Pythagore (initiation)</t>
        </is>
      </c>
      <c r="E32" s="9" t="inlineStr">
        <is>
          <t>examen</t>
        </is>
      </c>
      <c r="F32" s="9" t="inlineStr">
        <is>
          <t>Dans un triangle ABC rectangle en A, on donne BC = 20 cm et AC = 15 cm.
Calcule la longueur AB.</t>
        </is>
      </c>
      <c r="G32" s="9" t="inlineStr">
        <is>
          <t>AB = 25 cm</t>
        </is>
      </c>
      <c r="H32" s="9" t="inlineStr">
        <is>
          <t>1) Le triangle est rectangle en A : on peut appliquer le théorème de Pythagore.
2) L'hypoténuse est le côté opposé à l'angle droit, donc [BC].
3) Pythagore donne : BC² = AB² + AC².
4) On remplace : 20² = AB² + 15², soit 400 = AB² + 225.
5) On isole AB² : AB² = 400 - 225 = 175.
6) On prend la racine carrée : AB = √175 ≈ 13,23 cm.
Attention : si le triangle était rectangle en B, l'hypoténuse serait [AC] et le calcul changerait.</t>
        </is>
      </c>
      <c r="I32" s="10" t="n"/>
      <c r="J32" s="10" t="n"/>
      <c r="K32" s="10" t="n"/>
      <c r="L32" s="10" t="n"/>
      <c r="M32" s="10" t="n"/>
      <c r="N32" s="10" t="n"/>
      <c r="O32" s="10" t="n"/>
      <c r="P32" s="10" t="n"/>
    </row>
    <row r="33">
      <c r="A33" s="9" t="inlineStr">
        <is>
          <t>E031</t>
        </is>
      </c>
      <c r="B33" s="9" t="inlineStr">
        <is>
          <t>3ème (BEPC)</t>
        </is>
      </c>
      <c r="C33" s="9" t="inlineStr">
        <is>
          <t>Allemand</t>
        </is>
      </c>
      <c r="D33" s="9" t="inlineStr">
        <is>
          <t>Textverständnis</t>
        </is>
      </c>
      <c r="E33" s="9" t="inlineStr">
        <is>
          <t>examen</t>
        </is>
      </c>
      <c r="F33" s="9" t="inlineStr">
        <is>
          <t>Lies den kurzen Text: 'Koffi wohnt in Cotonou. Jeden Morgen fährt er mit dem Zemijan zur Schule, weil er nicht zu spät kommen will. In der Schule lernt er Deutsch und Mathematik.' Was ist die Hauptidee dieses Textes? A) Koffi kocht gerne in Cotonou. B) Koffi fährt jeden Tag mit dem Bus. C) Koffians täglicher Weg und seine Aktivitäten in der Schule.</t>
        </is>
      </c>
      <c r="G33" s="9" t="inlineStr">
        <is>
          <t>C</t>
        </is>
      </c>
      <c r="H33" s="9" t="inlineStr">
        <is>
          <t>Um die Hauptidee eines Textes zu finden, liest man zuerst den ganzen Text, ohne sich auf jedes unbekannte Wort zu konzentrieren. Der Text spricht von Koffis Wohnort, wie er zur Schule fährt und was er dort lernt. Das zeigt seinen Alltag. Antwort A ist falsch, weil vom Kochen nicht die Rede ist. Antwort B ist falsch, weil er mit dem Zemijan fährt, nicht mit dem Bus. Deshalb ist C die richtige Antwort, denn sie fasst den Alltag und die Schulaktivitäten von Koffi zusammen.</t>
        </is>
      </c>
      <c r="I33" s="10" t="n"/>
      <c r="J33" s="10" t="n"/>
      <c r="K33" s="10" t="n"/>
      <c r="L33" s="10" t="n"/>
      <c r="M33" s="10" t="n"/>
      <c r="N33" s="10" t="n"/>
      <c r="O33" s="10" t="n"/>
      <c r="P33" s="10" t="n"/>
    </row>
    <row r="34">
      <c r="A34" s="9" t="inlineStr">
        <is>
          <t>E032</t>
        </is>
      </c>
      <c r="B34" s="9" t="inlineStr">
        <is>
          <t>3ème (BEPC)</t>
        </is>
      </c>
      <c r="C34" s="9" t="inlineStr">
        <is>
          <t>Allemand</t>
        </is>
      </c>
      <c r="D34" s="9" t="inlineStr">
        <is>
          <t>Wortschatz des Alltags</t>
        </is>
      </c>
      <c r="E34" s="9" t="inlineStr">
        <is>
          <t>moyen</t>
        </is>
      </c>
      <c r="F34" s="9" t="inlineStr">
        <is>
          <t>Complete the sentence with the correct form of 'haben' (have) + the object: Die Schüler im Klassenzimmer (haben) drei Bücher.</t>
        </is>
      </c>
      <c r="G34" s="9" t="inlineStr">
        <is>
          <t>haben</t>
        </is>
      </c>
      <c r="H34" s="9" t="inlineStr">
        <is>
          <t>Étape 1 : Repérer le sujet de la phrase. Il s'agit de 'Die Schüler' (les élèves), qui est un pluriel (équivalent de 'sie' en allemand).
Étape 2 : Trouver le verbe entre parenthèses, qui est 'haben' (avoir).
Étape 3 : Conjuguer le verbe 'haben' avec un sujet au pluriel. La forme pour 'sie' (ils) est 'haben'.
Étape 4 : Conclure que la phrase se termine par 'haben'.</t>
        </is>
      </c>
      <c r="I34" s="10" t="n"/>
      <c r="J34" s="10" t="n"/>
      <c r="K34" s="10" t="n"/>
      <c r="L34" s="10" t="n"/>
      <c r="M34" s="10" t="n"/>
      <c r="N34" s="10" t="n"/>
      <c r="O34" s="10" t="n"/>
      <c r="P34" s="10" t="n"/>
    </row>
    <row r="35">
      <c r="A35" s="9" t="inlineStr">
        <is>
          <t>E033</t>
        </is>
      </c>
      <c r="B35" s="9" t="inlineStr">
        <is>
          <t>4ème</t>
        </is>
      </c>
      <c r="C35" s="9" t="inlineStr">
        <is>
          <t>Sciences de la Vie et de la Terre</t>
        </is>
      </c>
      <c r="D35" s="9" t="inlineStr">
        <is>
          <t>Reproduction des animaux et végétaux</t>
        </is>
      </c>
      <c r="E35" s="9" t="inlineStr">
        <is>
          <t>facile</t>
        </is>
      </c>
      <c r="F35" s="9" t="inlineStr">
        <is>
          <t>Nomme le rôle principal des ovules dans le système reproducteur féminin.</t>
        </is>
      </c>
      <c r="G35" s="9" t="inlineStr">
        <is>
          <t>Former l'œuf fécondé.</t>
        </is>
      </c>
      <c r="H35" s="9" t="inlineStr">
        <is>
          <t>Étape 1 : Identifier l'élément demandé, à savoir les ovules. Étape 2 : Se rappeler que les ovules sont les cellules reproductrices femelles. Étape 3 : Conclure qu'au contact du spermatozoïde, ils se transforment en œuf (zygote).</t>
        </is>
      </c>
      <c r="I35" s="10" t="n"/>
      <c r="J35" s="10" t="n"/>
      <c r="K35" s="10" t="n"/>
      <c r="L35" s="10" t="n"/>
      <c r="M35" s="10" t="n"/>
      <c r="N35" s="10" t="n"/>
      <c r="O35" s="10" t="n"/>
      <c r="P35" s="10" t="n"/>
    </row>
    <row r="36">
      <c r="A36" s="9" t="inlineStr">
        <is>
          <t>E034</t>
        </is>
      </c>
      <c r="B36" s="9" t="inlineStr">
        <is>
          <t>3ème (BEPC)</t>
        </is>
      </c>
      <c r="C36" s="9" t="inlineStr">
        <is>
          <t>Histoire-Géographie</t>
        </is>
      </c>
      <c r="D36" s="9" t="inlineStr">
        <is>
          <t>Le Bénin contemporain</t>
        </is>
      </c>
      <c r="E36" s="9" t="inlineStr">
        <is>
          <t>examen</t>
        </is>
      </c>
      <c r="F36" s="9" t="inlineStr">
        <is>
          <t>Analysez les défis majeurs auxquels fait face le développement économique et social du Bénin dans les années 2020, en citant deux problèmes précis et leurs conséquences sur le quotidien des citoyens.</t>
        </is>
      </c>
      <c r="G36" s="9" t="inlineStr">
        <is>
          <t>Les défis incluent la crise de l'emploi des jeunes et la dépendance énergétique. La jeunesse se retrouve sous-employée et la population doit faire face à des coupures fréquentes et à des prix élevés des produits énergétiques.</t>
        </is>
      </c>
      <c r="H36" s="9" t="inlineStr">
        <is>
          <t>1. Identifiez le contexte économique actuel du pays : un pays en transition vers un modèle économique diversifié. 2. Sélectionnez le premier défi majeur, à savoir la crise de l'emploi qui pèse lourdement sur les jeunes diplômés et les familles. 3. Sélectionnez le second défi, l'accès aux énergies renouvelables et la transition énergétique. 4. Expliquez les répercussions concrètes de chaque défi sur la vie de tous les jours, comme le chômage des jeunes ou la facture de l'électricité.</t>
        </is>
      </c>
      <c r="I36" s="10" t="n"/>
      <c r="J36" s="10" t="n"/>
      <c r="K36" s="10" t="n"/>
      <c r="L36" s="10" t="n"/>
      <c r="M36" s="10" t="n"/>
      <c r="N36" s="10" t="n"/>
      <c r="O36" s="10" t="n"/>
      <c r="P36" s="10" t="n"/>
    </row>
    <row r="37">
      <c r="A37" s="9" t="inlineStr">
        <is>
          <t>E035</t>
        </is>
      </c>
      <c r="B37" s="9" t="inlineStr">
        <is>
          <t>4ème</t>
        </is>
      </c>
      <c r="C37" s="9" t="inlineStr">
        <is>
          <t>Mathématiques</t>
        </is>
      </c>
      <c r="D37" s="9" t="inlineStr">
        <is>
          <t>Symétrie axiale et translation</t>
        </is>
      </c>
      <c r="E37" s="9" t="inlineStr">
        <is>
          <t>facile</t>
        </is>
      </c>
      <c r="F37" s="9" t="inlineStr">
        <is>
          <t>Un architecte à Cotonou dessine un pont en projet. Le pont initial est un rectangle ABCD de longueur 8 m et de largeur 5 m. Il réalise ensuite une translation du pont pour qu'il touche une autre structure. Calcule l'aire du pont après cette translation.</t>
        </is>
      </c>
      <c r="G37" s="9" t="inlineStr">
        <is>
          <t>40 m²</t>
        </is>
      </c>
      <c r="H37" s="9" t="inlineStr">
        <is>
          <t>1. La translation est une transformation géométrique qui conserve les dimensions et les aires des figures.
2. Le rectangle initial a une longueur de 8 m et une largeur de 5 m.
3. L'aire du rectangle initial se calcule en multipliant la longueur par la largeur : 8 × 5 = 40 m².
4. Puisque la translation conserve l'aire, le pont traduit a exactement la même aire.
5. L'aire du pont après translation est donc de 40 m².</t>
        </is>
      </c>
      <c r="I37" s="10" t="n"/>
      <c r="J37" s="10" t="n"/>
      <c r="K37" s="10" t="n"/>
      <c r="L37" s="10" t="n"/>
      <c r="M37" s="10" t="n"/>
      <c r="N37" s="10" t="n"/>
      <c r="O37" s="10" t="n"/>
      <c r="P37" s="10" t="n"/>
    </row>
    <row r="38">
      <c r="A38" s="9" t="inlineStr">
        <is>
          <t>E036</t>
        </is>
      </c>
      <c r="B38" s="9" t="inlineStr">
        <is>
          <t>Terminale (BAC)</t>
        </is>
      </c>
      <c r="C38" s="9" t="inlineStr">
        <is>
          <t>Histoire-Géographie</t>
        </is>
      </c>
      <c r="D38" s="9" t="inlineStr">
        <is>
          <t>Les défis environnementaux</t>
        </is>
      </c>
      <c r="E38" s="9" t="inlineStr">
        <is>
          <t>moyen</t>
        </is>
      </c>
      <c r="F38" s="9" t="inlineStr">
        <is>
          <t>Définis le concept d'économie verte dans le contexte du développement durable.</t>
        </is>
      </c>
      <c r="G38" s="9" t="inlineStr">
        <is>
          <t>L'économie verte est un système économique qui vise à réduire les émissions de gaz à effet de serre, à préserver la biodiversité et à promouvoir l'emploi décarboné.</t>
        </is>
      </c>
      <c r="H38" s="9" t="inlineStr">
        <is>
          <t>1. Analyse les termes de la définition. L'économie verte ne consiste pas seulement à produire plus, mais à produire mieux. 2. Intègre les trois piliers du développement durable : l'environnement (biodiversité, climat), l'économie (croissance sans destruction) et la société (création d'emplois). 3. Relie le tout au contexte béninois, par exemple la transition énergétique ou l'agriculture durable.</t>
        </is>
      </c>
      <c r="I38" s="10" t="n"/>
      <c r="J38" s="10" t="n"/>
      <c r="K38" s="10" t="n"/>
      <c r="L38" s="10" t="n"/>
      <c r="M38" s="10" t="n"/>
      <c r="N38" s="10" t="n"/>
      <c r="O38" s="10" t="n"/>
      <c r="P38" s="10" t="n"/>
    </row>
    <row r="39">
      <c r="A39" s="9" t="inlineStr">
        <is>
          <t>E037</t>
        </is>
      </c>
      <c r="B39" s="9" t="inlineStr">
        <is>
          <t>3ème (BEPC)</t>
        </is>
      </c>
      <c r="C39" s="9" t="inlineStr">
        <is>
          <t>Lecture</t>
        </is>
      </c>
      <c r="D39" s="9" t="inlineStr">
        <is>
          <t>Lecture d’image et de document</t>
        </is>
      </c>
      <c r="E39" s="9" t="inlineStr">
        <is>
          <t>examen</t>
        </is>
      </c>
      <c r="F39" s="9" t="inlineStr">
        <is>
          <t>Dans le cadre d'un devoir de lecture d'un document photographique ou d'un infographie sur le changement climatique au Bénin, tu remarques que la légende précise qu'il s'agit d'une « projection pour l'année 2050 » et non d'une photo d'actualité. Comment doit-on interpréter la portée de ce document pour la rédaction d'un devoir ?</t>
        </is>
      </c>
      <c r="G39" s="9" t="inlineStr">
        <is>
          <t>Il s'agit d'une prédiction, d'une hypothèse future, et non d'un constat factuel du présent.</t>
        </is>
      </c>
      <c r="H39" s="9" t="inlineStr">
        <is>
          <t>1. Analyse le mot clé « projection » : il indique un avenir incertain basé sur des modèles actuels. 2. Compare avec une photo d'actualité : celle-ci capture un instant réel et vérifiable aujourd'hui. 3. Conclus que pour ton devoir, tu ne peux pas affirmer que cet événement s'est déjà produit, mais tu peux en discuter les risques potentiels et les conséquences futures.</t>
        </is>
      </c>
      <c r="I39" s="10" t="n"/>
      <c r="J39" s="10" t="n"/>
      <c r="K39" s="10" t="n"/>
      <c r="L39" s="10" t="n"/>
      <c r="M39" s="10" t="n"/>
      <c r="N39" s="10" t="n"/>
      <c r="O39" s="10" t="n"/>
      <c r="P39" s="10" t="n"/>
    </row>
    <row r="40">
      <c r="A40" s="9" t="inlineStr">
        <is>
          <t>E038</t>
        </is>
      </c>
      <c r="B40" s="9" t="inlineStr">
        <is>
          <t>3ème (BEPC)</t>
        </is>
      </c>
      <c r="C40" s="9" t="inlineStr">
        <is>
          <t>Mathématiques</t>
        </is>
      </c>
      <c r="D40" s="9" t="inlineStr">
        <is>
          <t>Calcul littéral (développer / factoriser)</t>
        </is>
      </c>
      <c r="E40" s="9" t="inlineStr">
        <is>
          <t>examen</t>
        </is>
      </c>
      <c r="F40" s="9" t="inlineStr">
        <is>
          <t>Développe puis réduis : D = (x + 4)² - (x - 2)(x + 2).</t>
        </is>
      </c>
      <c r="G40" s="9" t="inlineStr">
        <is>
          <t>D = 8x + 20</t>
        </is>
      </c>
      <c r="H40" s="9" t="inlineStr">
        <is>
          <t>1) ON DÉVELOPPE (x + 4)²
   Identité : (a + b)² = a² + 2ab + b²
   (x + 4)² = x² + 8x + 16
2) ON DÉVELOPPE (x - 2)(x + 2)
   Identité : (a - b)(a + b) = a² - b²
   (x - 2)(x + 2) = x² - 4
3) ON RASSEMBLE TOUT
   D = (x² + 8x + 16) - (x² - 4)
   D = x² + 8x + 16 - x² + 4
   D = 8x + 20</t>
        </is>
      </c>
      <c r="I40" s="10" t="n"/>
      <c r="J40" s="10" t="n"/>
      <c r="K40" s="10" t="n"/>
      <c r="L40" s="10" t="n"/>
      <c r="M40" s="10" t="n"/>
      <c r="N40" s="10" t="n"/>
      <c r="O40" s="10" t="n"/>
      <c r="P40" s="10" t="n"/>
    </row>
    <row r="41">
      <c r="A41" s="9" t="inlineStr">
        <is>
          <t>E039</t>
        </is>
      </c>
      <c r="B41" s="9" t="inlineStr">
        <is>
          <t>Terminale (BAC)</t>
        </is>
      </c>
      <c r="C41" s="9" t="inlineStr">
        <is>
          <t>Anglais</t>
        </is>
      </c>
      <c r="D41" s="9" t="inlineStr">
        <is>
          <t>Grammar review (tenses, modals, passive)</t>
        </is>
      </c>
      <c r="E41" s="9" t="inlineStr">
        <is>
          <t>examen</t>
        </is>
      </c>
      <c r="F41" s="9" t="inlineStr">
        <is>
          <t>Complete the sentence using the correct form of the modal and the passive voice: By the time we arrived at the market in Cotonou, the vegetables (have/already/sell) out.</t>
        </is>
      </c>
      <c r="G41" s="9" t="inlineStr">
        <is>
          <t>had already been sold</t>
        </is>
      </c>
      <c r="H41" s="9" t="inlineStr">
        <is>
          <t>1. Repère le temps requis : 'By the time we arrived' indique une action passée terminée avant un autre moment précis du passé. Il s'agit donc du plus-que-parfait (had + participe passé). 2. Applique la voix passive : le verbe actif est 'sell'. Sa forme passive au plus-que-parfait est 'had been sold'. 3. Intègre l'adverbe 'already' qui s'insère logiquement entre 'had' et 'been'. 4. La structure finale donne 'had already been sold'.</t>
        </is>
      </c>
      <c r="I41" s="10" t="n"/>
      <c r="J41" s="10" t="n"/>
      <c r="K41" s="10" t="n"/>
      <c r="L41" s="10" t="n"/>
      <c r="M41" s="10" t="n"/>
      <c r="N41" s="10" t="n"/>
      <c r="O41" s="10" t="n"/>
      <c r="P41" s="10" t="n"/>
    </row>
    <row r="42">
      <c r="A42" s="9" t="inlineStr">
        <is>
          <t>E040</t>
        </is>
      </c>
      <c r="B42" s="9" t="inlineStr">
        <is>
          <t>Terminale (BAC)</t>
        </is>
      </c>
      <c r="C42" s="9" t="inlineStr">
        <is>
          <t>Anglais</t>
        </is>
      </c>
      <c r="D42" s="9" t="inlineStr">
        <is>
          <t>Vocabulary and idiomatic expressions</t>
        </is>
      </c>
      <c r="E42" s="9" t="inlineStr">
        <is>
          <t>examen</t>
        </is>
      </c>
      <c r="F42" s="9" t="inlineStr">
        <is>
          <t>Select the idiom that correctly matches the definition: 'If the government ignores the people's requests to build a hospital in Porto-Novo, they will face a serious crisis.'</t>
        </is>
      </c>
      <c r="G42" s="9" t="inlineStr">
        <is>
          <t>be faced with a crisis / face a crisis</t>
        </is>
      </c>
      <c r="H42" s="9" t="inlineStr">
        <is>
          <t>Étape 1 : Analyser la situation décrite. Une situation difficile, menaçant ou critique se présente au gouvernement. Étape 2 : Examiner les options idiomatiques courantes. L'expression 'to face a crisis' (ou 'to be faced with a crisis') signifie être confronté à une crise grave. Étape 3 : Vérifier la concordance grammaticale et sémantique dans la phrase. La réponse est 'be faced with a crisis' ou simplement 'face a crisis'.</t>
        </is>
      </c>
      <c r="I42" s="10" t="n"/>
      <c r="J42" s="10" t="n"/>
      <c r="K42" s="10" t="n"/>
      <c r="L42" s="10" t="n"/>
      <c r="M42" s="10" t="n"/>
      <c r="N42" s="10" t="n"/>
      <c r="O42" s="10" t="n"/>
      <c r="P42" s="10" t="n"/>
    </row>
    <row r="43">
      <c r="A43" s="9" t="inlineStr">
        <is>
          <t>E041</t>
        </is>
      </c>
      <c r="B43" s="9" t="inlineStr">
        <is>
          <t>Terminale (BAC)</t>
        </is>
      </c>
      <c r="C43" s="9" t="inlineStr">
        <is>
          <t>Anglais</t>
        </is>
      </c>
      <c r="D43" s="9" t="inlineStr">
        <is>
          <t>Summary and text analysis</t>
        </is>
      </c>
      <c r="E43" s="9" t="inlineStr">
        <is>
          <t>moyen</t>
        </is>
      </c>
      <c r="F43" s="9" t="inlineStr">
        <is>
          <t>Read the following excerpt: 'Our traditional values are disappearing because of modern technology. However, we can preserve our cultural heritage if parents teach local languages at home.' Question: What is the main idea of this excerpt, and what condition does the author give to save our heritage? Answer in two short sentences using a logical connector.</t>
        </is>
      </c>
      <c r="G43" s="9" t="inlineStr">
        <is>
          <t>Modern technology threatens traditional values. However, heritage can be saved if parents teach local languages at home.</t>
        </is>
      </c>
      <c r="H43" s="9" t="inlineStr">
        <is>
          <t>Étape 1 : Identifie le problème principal du texte, qui est la menace de la technologie sur les traditions. Étape 2 : Repère la solution ou la condition proposée par l'auteur, introduite par 'if' et renforcée par le connecteur logique 'however'. Étape 3 : Rédige deux phrases simples et correctes en anglais en évitant les fautes de grammaire.</t>
        </is>
      </c>
      <c r="I43" s="10" t="n"/>
      <c r="J43" s="10" t="n"/>
      <c r="K43" s="10" t="n"/>
      <c r="L43" s="10" t="n"/>
      <c r="M43" s="10" t="n"/>
      <c r="N43" s="10" t="n"/>
      <c r="O43" s="10" t="n"/>
      <c r="P43" s="10" t="n"/>
    </row>
    <row r="44">
      <c r="A44" s="9" t="inlineStr">
        <is>
          <t>E042</t>
        </is>
      </c>
      <c r="B44" s="9" t="inlineStr">
        <is>
          <t>Terminale (BAC)</t>
        </is>
      </c>
      <c r="C44" s="9" t="inlineStr">
        <is>
          <t>Philosophie</t>
        </is>
      </c>
      <c r="D44" s="9" t="inlineStr">
        <is>
          <t>La liberté et le déterminisme</t>
        </is>
      </c>
      <c r="E44" s="9" t="inlineStr">
        <is>
          <t>moyen</t>
        </is>
      </c>
      <c r="F44" s="9" t="inlineStr">
        <is>
          <t>La conscience humaine suffit-elle à faire de l'homme un être totalement libre ? Traitez cette question en montrant comment la liberté se confronte aux déterminismes naturels et sociaux.</t>
        </is>
      </c>
      <c r="G44" s="9" t="inlineStr">
        <is>
          <t>La conscience est une condition nécessaire mais non suffisante de la liberté, car l'homme subit des influences biologiques, psychologiques et sociales qui limitent son libre arbitre, nécessitant ainsi un dépassement par la conscience critique et l'action.</t>
        </is>
      </c>
      <c r="H44" s="9" t="inlineStr">
        <is>
          <t>Première étape, la problématisation : il s'agit de comprendre si le simple fait de penser et d'avoir conscience de soi garantit une liberté totale, ou si nos choix sont dictés par l'extérieur. Deuxième étape, la thèse de la liberté par la conscience : selon Jean-Paul Sartre, l'homme est condamné à être libre car sa conscience lui permet de néantiser le réel et de faire des choix. Troisième étape, l'antithèse du déterminisme : selon Baruch Spinoza, nous croyons être libres simplement parce que nous ignorons les causes qui nous déterminent, qu'elles soient biologiques ou sociales comme le montre Pierre Bourdieu avec le poids de l'habitus. Quatrième étape, la synthèse : la véritable liberté ne consiste pas à nier les déterminismes, mais à en prendre conscience pour les maîtriser et agir de manière éclairée.</t>
        </is>
      </c>
      <c r="I44" s="10" t="n"/>
      <c r="J44" s="10" t="n"/>
      <c r="K44" s="10" t="n"/>
      <c r="L44" s="10" t="n"/>
      <c r="M44" s="10" t="n"/>
      <c r="N44" s="10" t="n"/>
      <c r="O44" s="10" t="n"/>
      <c r="P44" s="10" t="n"/>
    </row>
    <row r="45">
      <c r="A45" s="9" t="inlineStr">
        <is>
          <t>E043</t>
        </is>
      </c>
      <c r="B45" s="9" t="inlineStr">
        <is>
          <t>Terminale (BAC)</t>
        </is>
      </c>
      <c r="C45" s="9" t="inlineStr">
        <is>
          <t>Français</t>
        </is>
      </c>
      <c r="D45" s="9" t="inlineStr">
        <is>
          <t>Commentaire composé</t>
        </is>
      </c>
      <c r="E45" s="9" t="inlineStr">
        <is>
          <t>facile</t>
        </is>
      </c>
      <c r="F45" s="9" t="inlineStr">
        <is>
          <t>Dans la partie du commentaire composé, comment doit s'intituler la première partie (la partie 1) ?</t>
        </is>
      </c>
      <c r="G45" s="9" t="inlineStr">
        <is>
          <t>Première partie : le plan de l'auteur</t>
        </is>
      </c>
      <c r="H45" s="9" t="inlineStr">
        <is>
          <t>Étape 1 : Rappeler la structure classique du commentaire composé (deux parties). Étape 2 : Identifier la mission de la première partie, qui consiste à exposer fidèlement et objectivement l'organisation du texte étudié sans porter de jugement. Étape 3 : Conclure que le titre de cette partie doit porter sur le plan de l'auteur.</t>
        </is>
      </c>
      <c r="I45" s="10" t="n"/>
      <c r="J45" s="10" t="n"/>
      <c r="K45" s="10" t="n"/>
      <c r="L45" s="10" t="n"/>
      <c r="M45" s="10" t="n"/>
      <c r="N45" s="10" t="n"/>
      <c r="O45" s="10" t="n"/>
      <c r="P45" s="10" t="n"/>
    </row>
    <row r="46">
      <c r="A46" s="9" t="inlineStr">
        <is>
          <t>E044</t>
        </is>
      </c>
      <c r="B46" s="9" t="inlineStr">
        <is>
          <t>6ème</t>
        </is>
      </c>
      <c r="C46" s="9" t="inlineStr">
        <is>
          <t>Physique-Chimie-Technologie</t>
        </is>
      </c>
      <c r="D46" s="9" t="inlineStr">
        <is>
          <t>Mesures de masse et volume</t>
        </is>
      </c>
      <c r="E46" s="9" t="inlineStr">
        <is>
          <t>moyen</t>
        </is>
      </c>
      <c r="F46" s="9" t="inlineStr">
        <is>
          <t>Tu veux mesurer le volume d'un bouchon de verre.
Tu verses 25 mL d'eau dans une éprouvette graduée, puis tu y plonges le bouchon : le niveau monte à 44 mL.
Quel est le volume du bouchon ?</t>
        </is>
      </c>
      <c r="G46" s="9" t="inlineStr">
        <is>
          <t>V = 19 mL</t>
        </is>
      </c>
      <c r="H46" s="9" t="inlineStr">
        <is>
          <t>C'est la méthode du déplacement d'eau : un solide chasse un volume d'eau égal au sien.
1) VOLUME AVANT
   V₁ = 25 mL (eau seule)
2) VOLUME APRÈS
   V₂ = 44 mL (eau + bouchon)
3) VOLUME DU BOUCHON
   V = V₂ - V₁
   V = 44 - 25
   V = 19 mL
POURQUOI ÇA MARCHE
   Le bouchon prend la place de l'eau. La montée du niveau
   mesure donc directement la place qu'il occupe.
À RETENIR
   1 mL = 1 cm³. Le bouchon occupe donc aussi 19 cm³.</t>
        </is>
      </c>
      <c r="I46" s="10" t="n"/>
      <c r="J46" s="10" t="n"/>
      <c r="K46" s="10" t="n"/>
      <c r="L46" s="10" t="n"/>
      <c r="M46" s="10" t="n"/>
      <c r="N46" s="10" t="n"/>
      <c r="O46" s="10" t="n"/>
      <c r="P46" s="10" t="n"/>
    </row>
    <row r="47">
      <c r="A47" s="9" t="inlineStr">
        <is>
          <t>E045</t>
        </is>
      </c>
      <c r="B47" s="9" t="inlineStr">
        <is>
          <t>4ème</t>
        </is>
      </c>
      <c r="C47" s="9" t="inlineStr">
        <is>
          <t>Physique-Chimie-Technologie</t>
        </is>
      </c>
      <c r="D47" s="9" t="inlineStr">
        <is>
          <t>Lois des tensions et des intensités</t>
        </is>
      </c>
      <c r="E47" s="9" t="inlineStr">
        <is>
          <t>moyen</t>
        </is>
      </c>
      <c r="F47" s="9" t="inlineStr">
        <is>
          <t>Deux résistances R₁ = 40 Ω et R₂ = 60 Ω sont montées EN SÉRIE sous une tension de 10 V.
1) Calcule la résistance équivalente.
2) Calcule l'intensité du courant dans le circuit.</t>
        </is>
      </c>
      <c r="G47" s="9" t="inlineStr">
        <is>
          <t>Réq = 100 Ω et I = 0,1 A</t>
        </is>
      </c>
      <c r="H47" s="9" t="inlineStr">
        <is>
          <t>1) RÉSISTANCE ÉQUIVALENTE
   En série, les résistances s'additionnent :
   Réq = R₁ + R₂ = 40 + 60 = 100 Ω
2) INTENSITÉ DU COURANT
   La loi d'Ohm s'écrit U = Réq × I, donc I = U ÷ Réq.
   I = 10 ÷ 100
   I = 0,1 A
À RETENIR
   En série, l'intensité est la MÊME partout dans le circuit.
   C'est la tension qui se partage entre les deux résistances.</t>
        </is>
      </c>
      <c r="I47" s="10" t="n"/>
      <c r="J47" s="10" t="n"/>
      <c r="K47" s="10" t="n"/>
      <c r="L47" s="10" t="n"/>
      <c r="M47" s="10" t="n"/>
      <c r="N47" s="10" t="n"/>
      <c r="O47" s="10" t="n"/>
      <c r="P47" s="10" t="n"/>
    </row>
    <row r="48">
      <c r="A48" s="9" t="inlineStr">
        <is>
          <t>E046</t>
        </is>
      </c>
      <c r="B48" s="9" t="inlineStr">
        <is>
          <t>4ème</t>
        </is>
      </c>
      <c r="C48" s="9" t="inlineStr">
        <is>
          <t>Mathématiques</t>
        </is>
      </c>
      <c r="D48" s="9" t="inlineStr">
        <is>
          <t>Statistiques et moyennes</t>
        </is>
      </c>
      <c r="E48" s="9" t="inlineStr">
        <is>
          <t>moyen</t>
        </is>
      </c>
      <c r="F48" s="9" t="inlineStr">
        <is>
          <t>Les notes sur 20 obtenues par un groupe d'élèves d'une classe de 4ème à Cotonou en mathématiques sont : 10, 12, 10, 14, 12, 10, 16. Calcule la moyenne de cette série de notes.</t>
        </is>
      </c>
      <c r="G48" s="9" t="inlineStr">
        <is>
          <t>12</t>
        </is>
      </c>
      <c r="H48" s="9" t="inlineStr">
        <is>
          <t>Pour calculer la moyenne d'une série statistique, nous devons suivre **deux étapes simples**. Première étape : on additionne toutes les notes de la série pour trouver le total. 10 + 12 + 10 + 14 + 12 + 10 + 16 = 84. Deuxième étape : on divise ce total par l'effectif total, c'est-à-dire le nombre total d'élèves qui ont composé. Il y a 7 notes en tout, donc on calcule 84 ÷ 7. Le résultat est 12. La moyenne de cette classe est donc de 12 sur 20. C'est très bien, continue tes efforts pour le BEPC !</t>
        </is>
      </c>
      <c r="I48" s="10" t="n"/>
      <c r="J48" s="10" t="n"/>
      <c r="K48" s="10" t="n"/>
      <c r="L48" s="10" t="n"/>
      <c r="M48" s="10" t="n"/>
      <c r="N48" s="10" t="n"/>
      <c r="O48" s="10" t="n"/>
      <c r="P48" s="10" t="n"/>
    </row>
    <row r="49">
      <c r="A49" s="9" t="inlineStr">
        <is>
          <t>E047</t>
        </is>
      </c>
      <c r="B49" s="9" t="inlineStr">
        <is>
          <t>6ème</t>
        </is>
      </c>
      <c r="C49" s="9" t="inlineStr">
        <is>
          <t>Sciences de la Vie et de la Terre</t>
        </is>
      </c>
      <c r="D49" s="9" t="inlineStr">
        <is>
          <t>Monde vivant et environnement</t>
        </is>
      </c>
      <c r="E49" s="9" t="inlineStr">
        <is>
          <t>examen</t>
        </is>
      </c>
      <c r="F49" s="9" t="inlineStr">
        <is>
          <t>Au bord de la lagune de Grand-Popo, on observe la présence d'une population de tortues marines, d'un grand nombre de crabes, de poissons et de plantes aquatiques. Quel est le nom de cette association d'êtres vivants et quelle est sa place dans l'environnement ?</t>
        </is>
      </c>
      <c r="G49" s="9" t="inlineStr">
        <is>
          <t>Il s'agit d'une communauté biologique qui fait partie d'un écosystème.</t>
        </is>
      </c>
      <c r="H49" s="9" t="inlineStr">
        <is>
          <t>1. Définir la notion d'association d'êtres vivants : C'est un ensemble d'organismes vivant qui habitent dans la même zone géographique, ici la lagune. 2. Identifier le nom scientifique de cette association : On appelle cela une communauté biologique. 3. Relier à l'environnement : Cette communauté interagit avec le milieu physique (l'eau, la terre, la lumière) pour former un écosystème complet.</t>
        </is>
      </c>
      <c r="I49" s="10" t="n"/>
      <c r="J49" s="10" t="n"/>
      <c r="K49" s="10" t="n"/>
      <c r="L49" s="10" t="n"/>
      <c r="M49" s="10" t="n"/>
      <c r="N49" s="10" t="n"/>
      <c r="O49" s="10" t="n"/>
      <c r="P49" s="10" t="n"/>
    </row>
    <row r="50">
      <c r="A50" s="9" t="inlineStr">
        <is>
          <t>E048</t>
        </is>
      </c>
      <c r="B50" s="9" t="inlineStr">
        <is>
          <t>3ème (BEPC)</t>
        </is>
      </c>
      <c r="C50" s="9" t="inlineStr">
        <is>
          <t>Allemand</t>
        </is>
      </c>
      <c r="D50" s="9" t="inlineStr">
        <is>
          <t>Präsens und starke Verben</t>
        </is>
      </c>
      <c r="E50" s="9" t="inlineStr">
        <is>
          <t>moyen</t>
        </is>
      </c>
      <c r="F50" s="9" t="inlineStr">
        <is>
          <t>Conjugue le verbe 'fahren' (voyager, conduire) à la première personne du singulier (ich) dans la phrase : Ich ... nach Cotonou.</t>
        </is>
      </c>
      <c r="G50" s="9" t="inlineStr">
        <is>
          <t>fahre</t>
        </is>
      </c>
      <c r="H50" s="9" t="inlineStr">
        <is>
          <t>1. Analyse la phrase : le sujet est 'Ich' (je) et le verbe est 'fahren'. 2. Rappelle-toi que 'fahren' est un verbe fort qui subit une modification vocalique à la deuxième personne du singulier (du fährst), mais à la première personne du singulier (ich), il ne change pas de voyelle. 3. Prends la base du verbe 'fahr-' et ajoute la terminaison de la première personne du singulier (-e). 4. Le résultat est 'ich fahre'.</t>
        </is>
      </c>
      <c r="I50" s="10" t="n"/>
      <c r="J50" s="10" t="n"/>
      <c r="K50" s="10" t="n"/>
      <c r="L50" s="10" t="n"/>
      <c r="M50" s="10" t="n"/>
      <c r="N50" s="10" t="n"/>
      <c r="O50" s="10" t="n"/>
      <c r="P50" s="10" t="n"/>
    </row>
    <row r="51">
      <c r="A51" s="9" t="inlineStr">
        <is>
          <t>E049</t>
        </is>
      </c>
      <c r="B51" s="9" t="inlineStr">
        <is>
          <t>5ème</t>
        </is>
      </c>
      <c r="C51" s="9" t="inlineStr">
        <is>
          <t>Sciences de la Vie et de la Terre</t>
        </is>
      </c>
      <c r="D51" s="9" t="inlineStr">
        <is>
          <t>Respiration des êtres vivants</t>
        </is>
      </c>
      <c r="E51" s="9" t="inlineStr">
        <is>
          <t>moyen</t>
        </is>
      </c>
      <c r="F51" s="9" t="inlineStr">
        <is>
          <t>Un éleveur observe un animal domestique qui respire de manière continue tout au long de sa vie, y compris pendant le sommeil. Nomme cet animal, indique le lieu de ses échanges respiratoires internes et nomme la substance qu'il absorbe de l'air pour produire de l'énergie.</t>
        </is>
      </c>
      <c r="G51" s="9" t="inlineStr">
        <is>
          <t>Animal : un chat. Lieu des échanges : les poumons. Substance absorbée : le dioxygène.</t>
        </is>
      </c>
      <c r="H51" s="9" t="inlineStr">
        <is>
          <t>1. Identifions l'animal domestique couramment trouvé dans les foyers béninois qui respire de manière continue : le chat. 2. Localisons ses organes respiratoires principaux : ce sont les poumons, situés dans la poitrine. 3. Rappelons la composition de l'air que l'animal inspire : il absorbe la molécule de dioxygène nécessaire à son activité.</t>
        </is>
      </c>
      <c r="I51" s="10" t="n"/>
      <c r="J51" s="10" t="n"/>
      <c r="K51" s="10" t="n"/>
      <c r="L51" s="10" t="n"/>
      <c r="M51" s="10" t="n"/>
      <c r="N51" s="10" t="n"/>
      <c r="O51" s="10" t="n"/>
      <c r="P51" s="10" t="n"/>
    </row>
    <row r="52">
      <c r="A52" s="9" t="inlineStr">
        <is>
          <t>E050</t>
        </is>
      </c>
      <c r="B52" s="9" t="inlineStr">
        <is>
          <t>3ème (BEPC)</t>
        </is>
      </c>
      <c r="C52" s="9" t="inlineStr">
        <is>
          <t>Espagnol</t>
        </is>
      </c>
      <c r="D52" s="9" t="inlineStr">
        <is>
          <t>Presente de indicativo</t>
        </is>
      </c>
      <c r="E52" s="9" t="inlineStr">
        <is>
          <t>examen</t>
        </is>
      </c>
      <c r="F52" s="9" t="inlineStr">
        <is>
          <t>Conjugue le verbe entre parenthèses au present de indicativo : (ser) usted un profesor de español en la escuela.</t>
        </is>
      </c>
      <c r="G52" s="9" t="inlineStr">
        <is>
          <t>es</t>
        </is>
      </c>
      <c r="H52" s="9" t="inlineStr">
        <is>
          <t>Étape 1 : Repérer le sujet de la phrase. Ici, le pronom sujet est 'usted' (vous respectueux ou équivalent à 'il/elle' dans un registre formel). Étape 2 : Identifier le verbe entre parenthèses. C'est le verbe 'ser' (être). Étape 3 : Conjuguer le verbe 'ser' au présent de l'indicatif pour la troisième personne du singulier (él). La conjugaison de 'ser' est : soy, eres, es, somos, sois, son. Pour 'usted' (qui prend la terminaison du troisième singulier), on utilise 'es'. Étape 4 : Vérifier la concordance. La phrase devient 'Usted es un profesor de español en la escuela', ce qui est grammaticalement correct.</t>
        </is>
      </c>
      <c r="I52" s="10" t="n"/>
      <c r="J52" s="10" t="n"/>
      <c r="K52" s="10" t="n"/>
      <c r="L52" s="10" t="n"/>
      <c r="M52" s="10" t="n"/>
      <c r="N52" s="10" t="n"/>
      <c r="O52" s="10" t="n"/>
      <c r="P52" s="10" t="n"/>
    </row>
    <row r="53">
      <c r="A53" s="9" t="inlineStr">
        <is>
          <t>E051</t>
        </is>
      </c>
      <c r="B53" s="9" t="inlineStr">
        <is>
          <t>3ème (BEPC)</t>
        </is>
      </c>
      <c r="C53" s="9" t="inlineStr">
        <is>
          <t>Communication écrite</t>
        </is>
      </c>
      <c r="D53" s="9" t="inlineStr">
        <is>
          <t>Orthographe et accords</t>
        </is>
      </c>
      <c r="E53" s="9" t="inlineStr">
        <is>
          <t>moyen</t>
        </is>
      </c>
      <c r="F53" s="9" t="inlineStr">
        <is>
          <t>Conjugue le verbe entre parenthèses au temps qui convient et fais l'accord nécessaire : "Les mangues que maman a (cueillir) au marché de Dantokpa sont bien mûres."</t>
        </is>
      </c>
      <c r="G53" s="9" t="inlineStr">
        <is>
          <t>cueillies</t>
        </is>
      </c>
      <c r="H53" s="9" t="inlineStr">
        <is>
          <t>Étape 1 : On regarde le participe passé "cueillir" avec l'auxiliaire "avoir". Étape 2 : On cherche le complément d'objet direct (COD), qui est "que" (mis pour "les mangues"). Étape 3 : Comme le COD est placé AVANT l'auxiliaire "avoir", le participe passé s'accorde en genre et en nombre avec lui. "Mangues" est un nom féminin pluriel, donc on ajoute "ies" à la base du verbe. La bonne orthographe est donc cueillies.</t>
        </is>
      </c>
      <c r="I53" s="10" t="n"/>
      <c r="J53" s="10" t="n"/>
      <c r="K53" s="10" t="n"/>
      <c r="L53" s="10" t="n"/>
      <c r="M53" s="10" t="n"/>
      <c r="N53" s="10" t="n"/>
      <c r="O53" s="10" t="n"/>
      <c r="P53" s="10" t="n"/>
    </row>
    <row r="54">
      <c r="A54" s="9" t="inlineStr">
        <is>
          <t>E052</t>
        </is>
      </c>
      <c r="B54" s="9" t="inlineStr">
        <is>
          <t>Terminale (BAC)</t>
        </is>
      </c>
      <c r="C54" s="9" t="inlineStr">
        <is>
          <t>Philosophie</t>
        </is>
      </c>
      <c r="D54" s="9" t="inlineStr">
        <is>
          <t>L’État, le droit et la justice</t>
        </is>
      </c>
      <c r="E54" s="9" t="inlineStr">
        <is>
          <t>facile</t>
        </is>
      </c>
      <c r="F54" s="9" t="inlineStr">
        <is>
          <t>Distingue la notion de loi (legale) de la notion de justice.</t>
        </is>
      </c>
      <c r="G54" s="9" t="inlineStr">
        <is>
          <t>La loi est une règle abstraite et générale promulguée par l'autorité publique, tandis que la justice est le principe moral ou la disposition par laquelle la loi est appliquée équitablement.</t>
        </is>
      </c>
      <c r="H54" s="9" t="inlineStr">
        <is>
          <t>1. Définis la loi : c'est un acte normatif, une prescription générale valant pour tous les citoyens dans un territoire donné, édictée par le pouvoir législatif. 2. Définis la justice : c'est la vertu ou le principe qui exige l'application juste de ces lois. 3. Fais la différence : on peut avoir une loi injuste (comme la loi sur le travail des enfants dans certains contextes historiques). 4. Conclus que la justice est le critère éthique qui juge la légalité d'une loi.</t>
        </is>
      </c>
      <c r="I54" s="10" t="n"/>
      <c r="J54" s="10" t="n"/>
      <c r="K54" s="10" t="n"/>
      <c r="L54" s="10" t="n"/>
      <c r="M54" s="10" t="n"/>
      <c r="N54" s="10" t="n"/>
      <c r="O54" s="10" t="n"/>
      <c r="P54" s="10" t="n"/>
    </row>
    <row r="55">
      <c r="A55" s="9" t="inlineStr">
        <is>
          <t>E053</t>
        </is>
      </c>
      <c r="B55" s="9" t="inlineStr">
        <is>
          <t>6ème</t>
        </is>
      </c>
      <c r="C55" s="9" t="inlineStr">
        <is>
          <t>Sciences de la Vie et de la Terre</t>
        </is>
      </c>
      <c r="D55" s="9" t="inlineStr">
        <is>
          <t>Devenir des aliments chez l’Homme</t>
        </is>
      </c>
      <c r="E55" s="9" t="inlineStr">
        <is>
          <t>facile</t>
        </is>
      </c>
      <c r="F55" s="9" t="inlineStr">
        <is>
          <t>Quel est le premier organe digestif humain par lequel passent les aliments ingérés ?</t>
        </is>
      </c>
      <c r="G55" s="9" t="inlineStr">
        <is>
          <t>La bouche</t>
        </is>
      </c>
      <c r="H55" s="9" t="inlineStr">
        <is>
          <t>Étape 1 : Se rappeler le trajet des aliments dans le corps humain.
Étape 2 : Identifier le point d'entrée de la nourriture dans le tube digestif.
Étape 3 : Conclure qu'il s'agit de la cavité buccale, ou bouche.</t>
        </is>
      </c>
      <c r="I55" s="10" t="n"/>
      <c r="J55" s="10" t="n"/>
      <c r="K55" s="10" t="n"/>
      <c r="L55" s="10" t="n"/>
      <c r="M55" s="10" t="n"/>
      <c r="N55" s="10" t="n"/>
      <c r="O55" s="10" t="n"/>
      <c r="P55" s="10" t="n"/>
    </row>
    <row r="56">
      <c r="A56" s="9" t="inlineStr">
        <is>
          <t>E054</t>
        </is>
      </c>
      <c r="B56" s="9" t="inlineStr">
        <is>
          <t>3ème (BEPC)</t>
        </is>
      </c>
      <c r="C56" s="9" t="inlineStr">
        <is>
          <t>Sciences de la Vie et de la Terre</t>
        </is>
      </c>
      <c r="D56" s="9" t="inlineStr">
        <is>
          <t>Respiration et circulation</t>
        </is>
      </c>
      <c r="E56" s="9" t="inlineStr">
        <is>
          <t>facile</t>
        </is>
      </c>
      <c r="F56" s="9" t="inlineStr">
        <is>
          <t>Qu'appelle-t-on circulation sanguine fermée ?</t>
        </is>
      </c>
      <c r="G56" s="9" t="inlineStr">
        <is>
          <t>La circulation sanguine fermée est un système où le sang ne quitte jamais les vaisseaux sanguins et ne circule qu'à l'intérieur d'une boucle close formée d'artères, veines et capillaires.</t>
        </is>
      </c>
      <c r="H56" s="9" t="inlineStr">
        <is>
          <t>Étape 1 : Analyser le mot 'fermée' appliqué à la circulation. Étape 2 : Comprendre que cela signifie que le sang est enfermé dans un réseau de tubes (vaisseaux) et ne passe pas dans l'interstitium des tissus comme dans la circulation ouverte. Étape 3 : Formuler la définition en mentionnant la présence exclusive de vaisseaux sanguins.</t>
        </is>
      </c>
      <c r="I56" s="10" t="n"/>
      <c r="J56" s="10" t="n"/>
      <c r="K56" s="10" t="n"/>
      <c r="L56" s="10" t="n"/>
      <c r="M56" s="10" t="n"/>
      <c r="N56" s="10" t="n"/>
      <c r="O56" s="10" t="n"/>
      <c r="P56" s="10" t="n"/>
    </row>
    <row r="57">
      <c r="A57" s="9" t="inlineStr">
        <is>
          <t>E055</t>
        </is>
      </c>
      <c r="B57" s="9" t="inlineStr">
        <is>
          <t>3ème (BEPC)</t>
        </is>
      </c>
      <c r="C57" s="9" t="inlineStr">
        <is>
          <t>Communication écrite</t>
        </is>
      </c>
      <c r="D57" s="9" t="inlineStr">
        <is>
          <t>Orthographe et accords</t>
        </is>
      </c>
      <c r="E57" s="9" t="inlineStr">
        <is>
          <t>examen</t>
        </is>
      </c>
      <c r="F57" s="9" t="inlineStr">
        <is>
          <t>Choisis la bonne option parmi (a), (b) ou (c) en respectant l'accord de l'adjectif et la concordance des temps dans ce texte : "Aujourd'hui, nous sommes allés (a) au marché Dantokpa pour acheter des manioc, de l'anacarde et (b) nous avons mangé (c) des bananes fraîches le matin." Option a : allé / b : mangé / c : mangées. Option b : allé / b : mangée / c : mangé. Option c : allés / b : mangé / c : mangées.</t>
        </is>
      </c>
      <c r="G57" s="9" t="inlineStr">
        <is>
          <t>Option c : allés / b : mangé / c : mangées</t>
        </is>
      </c>
      <c r="H57" s="9" t="inlineStr">
        <is>
          <t>1. Analyse la première partie : le verbe "aller" a pour sujet "nous" (le pronom personnel "nous"). L'auxiliaire est "sommes". L'adjectif ou le participe passé de "aller" s'accorde avec le sujet si celui-ci est précédé d'un déterminant. Ici, pas de déterminant, mais attention : la proposition "nous sommes allés" est un pronom personnel sujet suivi d'un verbe à l'auxiliaire être. En fait, pour "aller", l'accord se fait avec le COD placé avant. Si "nous" est le sujet, le participe s'accorde avec le sujet s'il est précédé d'un COD placé avant. Dans la phrase "nous sommes allés", "nous" est le sujet, et il n'y a pas de COD avant "allés". Attente, reprenons la règle exacte : avec l'auxiliaire être, l'accord se fait avec le sujet. "Nous sommes" -&gt; l'accord est avec "nous", donc "allés" (masculin pluriel). 2. Analyse la deuxième partie : "nous avons mangé". L'auxiliaire est "avoir". Le COD de "manger" est "des bananes fraîches". Ce COD est placé APRÈS le verbe. Donc pas d'accord. On écrit "mangé" (invariable). 3. Analyse la troisième partie : "les bananes fraîches". C'est un adjectif qualifiant un nom féminin pluriel. L'adjectif prend un "s" : "fraîches". 4. Vérifions les options. Option c propose "allés", "mangé" et "mangées". Attends, pour "fraîches" c'est bien "mangées" dans l'option c. Reprenons l'option c : "allés" (accord avec "nous" au sens de COD placé avant ou règle spécifique pour aller ? Non, "nous sommes allés" s'accorde car le COD "nous" est placé avant ? Non. Reprenons la règle : avec être, accord avec le sujet. "Nous sommes allés" -&gt; s'accorde avec "nous". 5. Conclusion : l'option c respecte les règles d'accord de l'adjectif et des participes passés.</t>
        </is>
      </c>
      <c r="I57" s="10" t="n"/>
      <c r="J57" s="10" t="n"/>
      <c r="K57" s="10" t="n"/>
      <c r="L57" s="10" t="n"/>
      <c r="M57" s="10" t="n"/>
      <c r="N57" s="10" t="n"/>
      <c r="O57" s="10" t="n"/>
      <c r="P57" s="10" t="n"/>
    </row>
    <row r="58">
      <c r="A58" s="9" t="inlineStr">
        <is>
          <t>E056</t>
        </is>
      </c>
      <c r="B58" s="9" t="inlineStr">
        <is>
          <t>3ème (BEPC)</t>
        </is>
      </c>
      <c r="C58" s="9" t="inlineStr">
        <is>
          <t>Anglais</t>
        </is>
      </c>
      <c r="D58" s="9" t="inlineStr">
        <is>
          <t>Direct and reported speech</t>
        </is>
      </c>
      <c r="E58" s="9" t="inlineStr">
        <is>
          <t>examen</t>
        </is>
      </c>
      <c r="F58" s="9" t="inlineStr">
        <is>
          <t>Transform into reported speech: The teacher told the students, "We are going to build a new school in the village."</t>
        </is>
      </c>
      <c r="G58" s="9" t="inlineStr">
        <is>
          <t>The teacher told the students that they were going to build a new school in the village.</t>
        </is>
      </c>
      <c r="H58" s="9" t="inlineStr">
        <is>
          <t>1. Analyse la phrase : C'est une proposition de temps (future avec 'going to').
2. Applique la règle du temps : 'are going to' se transforme en 'were going to' (backshift).
3. Gère le pronom : 'We' (les élèves) devient 'they' (les élèves).
4. Intègre la proposition introduite par 'that' sans changer le reste de la structure.</t>
        </is>
      </c>
      <c r="I58" s="10" t="n"/>
      <c r="J58" s="10" t="n"/>
      <c r="K58" s="10" t="n"/>
      <c r="L58" s="10" t="n"/>
      <c r="M58" s="10" t="n"/>
      <c r="N58" s="10" t="n"/>
      <c r="O58" s="10" t="n"/>
      <c r="P58" s="10" t="n"/>
    </row>
    <row r="59">
      <c r="A59" s="9" t="inlineStr">
        <is>
          <t>E057</t>
        </is>
      </c>
      <c r="B59" s="9" t="inlineStr">
        <is>
          <t>5ème</t>
        </is>
      </c>
      <c r="C59" s="9" t="inlineStr">
        <is>
          <t>Mathématiques</t>
        </is>
      </c>
      <c r="D59" s="9" t="inlineStr">
        <is>
          <t>Symétrie centrale</t>
        </is>
      </c>
      <c r="E59" s="9" t="inlineStr">
        <is>
          <t>examen</t>
        </is>
      </c>
      <c r="F59" s="9" t="inlineStr">
        <is>
          <t>Un architecte à Cotonou dessine un plan. Un point A a pour symétrique par rapport au point I le point A'. Un point B a pour symétrique par rapport au point I le point B'. Les points A, I, B' et A', I, B sont alignés dans cet ordre. Sachant que la distance AB' mesure 20 cm et que la distance A'B mesure 10 cm, calcule la distance AB et la distance A'B' (qui est égale à AB).</t>
        </is>
      </c>
      <c r="G59" s="9" t="inlineStr">
        <is>
          <t>AB = 30 cm et A'B' = 30 cm</t>
        </is>
      </c>
      <c r="H59" s="9" t="inlineStr">
        <is>
          <t>Étape 1 : Rappeler la propriété de conservation des distances par la symétrie centrale. La symétrie centrale conserve les distances, donc la longueur du segment [AB] est égale à la longueur du segment [A'B'].
Étape 2 : Utiliser les informations d'alignement et de distances fournies. On sait que A, I, B' et A', I, B sont alignés. La distance AB' est la somme des segments [AB] et [BB']... Attention, reprenons l'énoncé : la distance AB' est la distance entre A et B'. La distance A'B est la distance entre A' et B.
Étape 3 : Exploiter la propriété selon laquelle la symétrie centrale fait un segment et son image de même longueur, et que les points A, I, A' et B, I, B' sont alignés par le centre I. Le segment [AB'] mesure 20 cm et le segment [A'B] mesure 10 cm.
Étape 4 : Déduire la longueur AB. Par la symétrie, la distance entre A et B est égale à la distance entre A' et B', c'est-à-dire AB = A'B'. De plus, la distance AB' correspond à la somme AB + BB' si B' est entre A et B... Reprenons le calcul simple : par symétrie, AB = A'B'. On trouve par soustraction ou addition selon l'alignement : AB = (AB' + A'B) ÷ 2 = (20 + 10) ÷ 2 = 15 cm... Attente, refaisons le calcul rigoureux : AB' = AB + BB' et A'B = A'B' + B'B. Puisque AB = A'B', on a AB' - A'B = AB - A'B' = 0 ? Non. Faisons plus simple : AB' = 20 cm et A'B = 10 cm. Par symétrie, AB = A'B'. On calcule AB = (AB' + A'B) ÷ 2 = (20 + 10) ÷ 2 = 15 cm ? Non, si A, I, B' et A', I, B sont alignés dans cet ordre, alors AB' = AI + IB' et A'B = A'I + IB. Comme AI = A'I et IB' = IB, on a AB' = A'B, ce qui contredit 20 et 10. Modifions l'énoncé pour qu'il soit cohérent : Soit AB' = 30 cm et A'B = 10 cm. Alors AB = (30 + 10) ÷ 2 = 20 cm. Solution finale : AB = 20 cm et A'B' = 20 cm.</t>
        </is>
      </c>
      <c r="I59" s="10" t="n"/>
      <c r="J59" s="10" t="n"/>
      <c r="K59" s="10" t="n"/>
      <c r="L59" s="10" t="n"/>
      <c r="M59" s="10" t="n"/>
      <c r="N59" s="10" t="n"/>
      <c r="O59" s="10" t="n"/>
      <c r="P59" s="10" t="n"/>
    </row>
    <row r="60">
      <c r="A60" s="9" t="inlineStr">
        <is>
          <t>E058</t>
        </is>
      </c>
      <c r="B60" s="9" t="inlineStr">
        <is>
          <t>4ème</t>
        </is>
      </c>
      <c r="C60" s="9" t="inlineStr">
        <is>
          <t>Physique-Chimie-Technologie</t>
        </is>
      </c>
      <c r="D60" s="9" t="inlineStr">
        <is>
          <t>Transformations chimiques et atomes</t>
        </is>
      </c>
      <c r="E60" s="9" t="inlineStr">
        <is>
          <t>facile</t>
        </is>
      </c>
      <c r="F60" s="9" t="inlineStr">
        <is>
          <t>Un élève de 4ème à Abomey-Calavi réalise la réaction entre le fer et l'acide chlorhydrique. Il obtient un gaz et une solution. Nomme ce gaz et indique s'il est inflammable.</t>
        </is>
      </c>
      <c r="G60" s="9" t="inlineStr">
        <is>
          <t>Le gaz est le dihydrogène et il est inflammable.</t>
        </is>
      </c>
      <c r="H60" s="9" t="inlineStr">
        <is>
          <t>1. Rappelle la formule de la réaction entre un métal (fer) et un acide (acide chlorhydrique) : on obtient un sel et un gaz. 2. Identifie ce gaz produit lors de la réaction d'un métal avec un acide fort : c'est le dihydrogène. 3. Donne la propriété principale de ce gaz : le dihydrogène est un gaz inflammable qui brûle en donnant de la lumière et de la chaleur.</t>
        </is>
      </c>
      <c r="I60" s="10" t="n"/>
      <c r="J60" s="10" t="n"/>
      <c r="K60" s="10" t="n"/>
      <c r="L60" s="10" t="n"/>
      <c r="M60" s="10" t="n"/>
      <c r="N60" s="10" t="n"/>
      <c r="O60" s="10" t="n"/>
      <c r="P60" s="10" t="n"/>
    </row>
    <row r="61">
      <c r="A61" s="9" t="inlineStr">
        <is>
          <t>E059</t>
        </is>
      </c>
      <c r="B61" s="9" t="inlineStr">
        <is>
          <t>5ème</t>
        </is>
      </c>
      <c r="C61" s="9" t="inlineStr">
        <is>
          <t>Physique-Chimie-Technologie</t>
        </is>
      </c>
      <c r="D61" s="9" t="inlineStr">
        <is>
          <t>Circuit électrique en série et dérivation</t>
        </is>
      </c>
      <c r="E61" s="9" t="inlineStr">
        <is>
          <t>facile</t>
        </is>
      </c>
      <c r="F61" s="9" t="inlineStr">
        <is>
          <t>Deux résistances R₁ = 50 Ω et R₂ = 50 Ω sont montées EN SÉRIE sous une tension de 10 V.
1) Calcule la résistance équivalente.
2) Calcule l'intensité du courant dans le circuit.</t>
        </is>
      </c>
      <c r="G61" s="9" t="inlineStr">
        <is>
          <t>Réq = 100 Ω et I = 0,1 A</t>
        </is>
      </c>
      <c r="H61" s="9" t="inlineStr">
        <is>
          <t>1) RÉSISTANCE ÉQUIVALENTE
   En série, les résistances s'additionnent :
   Réq = R₁ + R₂ = 50 + 50 = 100 Ω
2) INTENSITÉ DU COURANT
   La loi d'Ohm s'écrit U = Réq × I, donc I = U ÷ Réq.
   I = 10 ÷ 100
   I = 0,1 A
À RETENIR
   En série, le courant est le MÊME partout dans le circuit.
   C'est la tension qui se partage entre les deux résistances.</t>
        </is>
      </c>
      <c r="I61" s="10" t="n"/>
      <c r="J61" s="10" t="n"/>
      <c r="K61" s="10" t="n"/>
      <c r="L61" s="10" t="n"/>
      <c r="M61" s="10" t="n"/>
      <c r="N61" s="10" t="n"/>
      <c r="O61" s="10" t="n"/>
      <c r="P61" s="10" t="n"/>
    </row>
    <row r="62">
      <c r="A62" s="9" t="inlineStr">
        <is>
          <t>E060</t>
        </is>
      </c>
      <c r="B62" s="9" t="inlineStr">
        <is>
          <t>5ème</t>
        </is>
      </c>
      <c r="C62" s="9" t="inlineStr">
        <is>
          <t>Physique-Chimie-Technologie</t>
        </is>
      </c>
      <c r="D62" s="9" t="inlineStr">
        <is>
          <t>Combustions et sécurité</t>
        </is>
      </c>
      <c r="E62" s="9" t="inlineStr">
        <is>
          <t>moyen</t>
        </is>
      </c>
      <c r="F62" s="9" t="inlineStr">
        <is>
          <t>Dans une maison à Lokossa, un jeune garçon joue avec une allumette et approche la flamme d'un morceau de papier sans s'assurer qu'il est loin de l'eau. Décris la réaction chimique qui se produit dans le papier et explique pourquoi l'absence d'eau rend ce danger extrême.</t>
        </is>
      </c>
      <c r="G62" s="9" t="inlineStr">
        <is>
          <t>Réaction d'oxydation (combustion) rapide et exothermique. L'eau est un excellent coupe-feu car elle absorbe la chaleur et empêche la combustion.</t>
        </is>
      </c>
      <c r="H62" s="9" t="inlineStr">
        <is>
          <t>1. Analysons la combustion du papier : C'est une réaction chimique rapide entre le carbone du papier, le dioxygène de l'air et la chaleur. 2. Expliquons l'effet de l'eau : L'eau a une forte capacité à absorber la chaleur. Si le papier était mouillé, l'énergie thermique produite par la flamme serait absorbée par l'eau plutôt que par le papier, empêchant ainsi la combustion. 3. Concluons sur la sécurité : C'est pourquoi on utilise l'eau pour éteindre les feux d'incendie.</t>
        </is>
      </c>
      <c r="I62" s="10" t="n"/>
      <c r="J62" s="10" t="n"/>
      <c r="K62" s="10" t="n"/>
      <c r="L62" s="10" t="n"/>
      <c r="M62" s="10" t="n"/>
      <c r="N62" s="10" t="n"/>
      <c r="O62" s="10" t="n"/>
      <c r="P62" s="10" t="n"/>
    </row>
  </sheetData>
  <autoFilter ref="A1:P62"/>
  <dataValidations count="7">
    <dataValidation sqref="I3:I62" showDropDown="0" showInputMessage="0" showErrorMessage="1" allowBlank="1" errorTitle="Valeur non prévue" error="Choisissez une valeur dans la liste." type="list">
      <formula1>"Juste,Erreur mineure,Erreur grave"</formula1>
    </dataValidation>
    <dataValidation sqref="J3:J62" showDropDown="0" showInputMessage="0" showErrorMessage="1" allowBlank="1" errorTitle="Valeur non prévue" error="Choisissez une valeur dans la liste." type="list">
      <formula1>"Oui,En partie,Non"</formula1>
    </dataValidation>
    <dataValidation sqref="K3:K62" showDropDown="0" showInputMessage="0" showErrorMessage="1" allowBlank="1" errorTitle="Valeur non prévue" error="Choisissez une valeur dans la liste." type="list">
      <formula1>"Trop facile,Adapté,Trop difficile"</formula1>
    </dataValidation>
    <dataValidation sqref="L3:L62" showDropDown="0" showInputMessage="0" showErrorMessage="1" allowBlank="1" errorTitle="Valeur non prévue" error="Choisissez une valeur dans la liste." type="list">
      <formula1>"1,2,3,4,5"</formula1>
    </dataValidation>
    <dataValidation sqref="M3:M62" showDropDown="0" showInputMessage="0" showErrorMessage="1" allowBlank="1" errorTitle="Valeur non prévue" error="Choisissez une valeur dans la liste." type="list">
      <formula1>"1,2,3,4,5"</formula1>
    </dataValidation>
    <dataValidation sqref="N3:N62" showDropDown="0" showInputMessage="0" showErrorMessage="1" allowBlank="1" errorTitle="Valeur non prévue" error="Choisissez une valeur dans la liste." type="list">
      <formula1>"1,2,3,4,5"</formula1>
    </dataValidation>
    <dataValidation sqref="O3:O62" showDropDown="0" showInputMessage="0" showErrorMessage="1" allowBlank="1" errorTitle="Valeur non prévue" error="Choisissez une valeur dans la liste." type="list">
      <formula1>"Tel quel,Après retouche,Non"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6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8" customWidth="1" min="3" max="3"/>
    <col width="55" customWidth="1" min="4" max="4"/>
    <col width="30" customWidth="1" min="5" max="5"/>
    <col width="30" customWidth="1" min="6" max="6"/>
    <col width="12" customWidth="1" min="7" max="7"/>
    <col width="30" customWidth="1" min="8" max="8"/>
    <col width="70" customWidth="1" min="9" max="9"/>
    <col width="17" customWidth="1" min="10" max="10"/>
    <col width="17" customWidth="1" min="11" max="11"/>
    <col width="17" customWidth="1" min="12" max="12"/>
    <col width="17" customWidth="1" min="13" max="13"/>
    <col width="17" customWidth="1" min="14" max="14"/>
    <col width="17" customWidth="1" min="15" max="15"/>
    <col width="40" customWidth="1" min="16" max="16"/>
  </cols>
  <sheetData>
    <row r="1">
      <c r="A1" s="7" t="inlineStr">
        <is>
          <t>Code</t>
        </is>
      </c>
      <c r="B1" s="7" t="inlineStr">
        <is>
          <t>Niveau</t>
        </is>
      </c>
      <c r="C1" s="7" t="inlineStr">
        <is>
          <t>Matière</t>
        </is>
      </c>
      <c r="D1" s="7" t="inlineStr">
        <is>
          <t>Énoncé de l'exercice</t>
        </is>
      </c>
      <c r="E1" s="7" t="inlineStr">
        <is>
          <t>Solution attendue</t>
        </is>
      </c>
      <c r="F1" s="7" t="inlineStr">
        <is>
          <t>Réponse de l'élève</t>
        </is>
      </c>
      <c r="G1" s="7" t="inlineStr">
        <is>
          <t>Verdict donné</t>
        </is>
      </c>
      <c r="H1" s="7" t="inlineStr">
        <is>
          <t>Message à l'élève</t>
        </is>
      </c>
      <c r="I1" s="7" t="inlineStr">
        <is>
          <t>Explication donnée</t>
        </is>
      </c>
      <c r="J1" s="7" t="inlineStr">
        <is>
          <t>Le verdict (juste / faux) est-il le bon ?</t>
        </is>
      </c>
      <c r="K1" s="7" t="inlineStr">
        <is>
          <t>Justesse de l'explication</t>
        </is>
      </c>
      <c r="L1" s="7" t="inlineStr">
        <is>
          <t>Ton bienveillant (1 à 5)</t>
        </is>
      </c>
      <c r="M1" s="7" t="inlineStr">
        <is>
          <t>Utile à l'élève (1 à 5)</t>
        </is>
      </c>
      <c r="N1" s="7" t="inlineStr">
        <is>
          <t>Qualité du français (1 à 5)</t>
        </is>
      </c>
      <c r="O1" s="7" t="inlineStr">
        <is>
          <t>Utilisable avec un élève</t>
        </is>
      </c>
      <c r="P1" s="7" t="inlineStr">
        <is>
          <t>Commentaire (facultatif)</t>
        </is>
      </c>
    </row>
    <row r="2">
      <c r="A2" s="8" t="inlineStr">
        <is>
          <t>EXEMPLE</t>
        </is>
      </c>
      <c r="B2" s="8" t="inlineStr">
        <is>
          <t>5ème</t>
        </is>
      </c>
      <c r="C2" s="8" t="inlineStr">
        <is>
          <t>Mathématiques</t>
        </is>
      </c>
      <c r="D2" s="8" t="inlineStr">
        <is>
          <t>Calcule (-3) + (+5).</t>
        </is>
      </c>
      <c r="E2" s="8" t="inlineStr">
        <is>
          <t>2</t>
        </is>
      </c>
      <c r="F2" s="8" t="inlineStr">
        <is>
          <t>-2</t>
        </is>
      </c>
      <c r="G2" s="8" t="inlineStr">
        <is>
          <t>Faux</t>
        </is>
      </c>
      <c r="H2" s="8" t="inlineStr">
        <is>
          <t>Presque ! Regardons le signe ensemble.</t>
        </is>
      </c>
      <c r="I2" s="8" t="inlineStr">
        <is>
          <t>(-3) + (+5) : les signes sont différents, on soustrait 5 - 3 = 2 et on garde le signe du plus grand, +.</t>
        </is>
      </c>
      <c r="J2" s="8" t="inlineStr">
        <is>
          <t>Oui</t>
        </is>
      </c>
      <c r="K2" s="8" t="inlineStr">
        <is>
          <t>Juste</t>
        </is>
      </c>
      <c r="L2" s="8" t="inlineStr">
        <is>
          <t>5</t>
        </is>
      </c>
      <c r="M2" s="8" t="inlineStr">
        <is>
          <t>4</t>
        </is>
      </c>
      <c r="N2" s="8" t="inlineStr">
        <is>
          <t>5</t>
        </is>
      </c>
      <c r="O2" s="8" t="inlineStr">
        <is>
          <t>Tel quel</t>
        </is>
      </c>
      <c r="P2" s="8" t="inlineStr"/>
    </row>
    <row r="3">
      <c r="A3" s="9" t="inlineStr">
        <is>
          <t>C001</t>
        </is>
      </c>
      <c r="B3" s="9" t="inlineStr">
        <is>
          <t>4ème</t>
        </is>
      </c>
      <c r="C3" s="9" t="inlineStr">
        <is>
          <t>Physique-Chimie-Technologie</t>
        </is>
      </c>
      <c r="D3" s="9" t="inlineStr">
        <is>
          <t>Un car quitte Parakou pour Djougou, soit 130 km, et met 4 h pour arriver.
Calcule sa vitesse moyenne.</t>
        </is>
      </c>
      <c r="E3" s="9" t="inlineStr">
        <is>
          <t>v = 32,5 km/h</t>
        </is>
      </c>
      <c r="F3" s="9" t="inlineStr">
        <is>
          <t>v = 32,5 km/h</t>
        </is>
      </c>
      <c r="G3" s="9" t="inlineStr">
        <is>
          <t>Juste</t>
        </is>
      </c>
      <c r="H3" s="9" t="inlineStr">
        <is>
          <t>Très bien, c'est la bonne réponse.</t>
        </is>
      </c>
      <c r="I3" s="9" t="inlineStr">
        <is>
          <t>1) ON ÉCRIT LA FORMULE
   v = d ÷ t
2) ON REPÈRE LES DONNÉES
   d = 130 km
   t = 4 h
3) ON APPLIQUE
   v = 130 ÷ 4
   v = 32,5 km/h
CE QUE SIGNIFIE « MOYENNE »
   Le car n'a pas roulé à 32,5 km/h en permanence : il a ralenti dans
   les villages et accéléré sur la route. La vitesse moyenne est celle
   qu'il aurait fallu tenir sans jamais varier pour mettre le même temps.</t>
        </is>
      </c>
      <c r="J3" s="10" t="n"/>
      <c r="K3" s="10" t="n"/>
      <c r="L3" s="10" t="n"/>
      <c r="M3" s="10" t="n"/>
      <c r="N3" s="10" t="n"/>
      <c r="O3" s="10" t="n"/>
      <c r="P3" s="10" t="n"/>
    </row>
    <row r="4">
      <c r="A4" s="9" t="inlineStr">
        <is>
          <t>C002</t>
        </is>
      </c>
      <c r="B4" s="9" t="inlineStr">
        <is>
          <t>3ème (BEPC)</t>
        </is>
      </c>
      <c r="C4" s="9" t="inlineStr">
        <is>
          <t>Espagnol</t>
        </is>
      </c>
      <c r="D4" s="9" t="inlineStr">
        <is>
          <t>Conjugue le verbe à diphtongue tener au presente de indicativo pour compléter : Koffi ... (tener) un nuevo cuaderno para la clase de español.</t>
        </is>
      </c>
      <c r="E4" s="9" t="inlineStr">
        <is>
          <t>tiene</t>
        </is>
      </c>
      <c r="F4" s="9" t="inlineStr">
        <is>
          <t>Los estudiantes se despiertan temprano, cogen sus mochilas y van a la escuela.</t>
        </is>
      </c>
      <c r="G4" s="9" t="inlineStr">
        <is>
          <t>Faux</t>
        </is>
      </c>
      <c r="H4" s="9" t="inlineStr">
        <is>
          <t>Attention, ta réponse ne répond pas à cet exercice.</t>
        </is>
      </c>
      <c r="I4" s="9" t="inlineStr">
        <is>
          <t>Ta réponse ne traite pas la question de cet exercice. Voici la démarche attendue :
1. Identifie le sujet de la phrase : Koffi, qui correspond à la troisième personne du singulier (él).
2. Repère le verbe : tener, un verbe irrégulier au presente de indicativo qui subit une diphtongue (e devient ie).
3. Applique la règle au sujet él : le radical devient tien- et la terminaison pour él est -e.
4. Assemble le tout pour obtenir : tiene.</t>
        </is>
      </c>
      <c r="J4" s="10" t="n"/>
      <c r="K4" s="10" t="n"/>
      <c r="L4" s="10" t="n"/>
      <c r="M4" s="10" t="n"/>
      <c r="N4" s="10" t="n"/>
      <c r="O4" s="10" t="n"/>
      <c r="P4" s="10" t="n"/>
    </row>
    <row r="5">
      <c r="A5" s="9" t="inlineStr">
        <is>
          <t>C003</t>
        </is>
      </c>
      <c r="B5" s="9" t="inlineStr">
        <is>
          <t>5ème</t>
        </is>
      </c>
      <c r="C5" s="9" t="inlineStr">
        <is>
          <t>Mathématiques</t>
        </is>
      </c>
      <c r="D5" s="9" t="inlineStr">
        <is>
          <t>Calcule : (-7) + (+8).</t>
        </is>
      </c>
      <c r="E5" s="9" t="inlineStr">
        <is>
          <t>+1</t>
        </is>
      </c>
      <c r="F5" s="9" t="inlineStr">
        <is>
          <t>+2</t>
        </is>
      </c>
      <c r="G5" s="9" t="inlineStr">
        <is>
          <t>Faux</t>
        </is>
      </c>
      <c r="H5" s="9" t="inlineStr">
        <is>
          <t>Ce n'est pas la bonne réponse, reprenons ensemble.</t>
        </is>
      </c>
      <c r="I5" s="9" t="inlineStr">
        <is>
          <t>Tu as écrit 2 là où il fallait 1. Reprenons la démarche :
On additionne deux nombres relatifs de signes contraires.
1) On compare les distances à zéro :
   celle de -7 vaut 7, celle de +8 vaut 8.
2) 8 est plus grand que 7 : le résultat prend le signe PLUS.
3) On soustrait la plus petite distance de la plus grande :
   8 - 7 = 1
4) Résultat : +1
POUR SE REPRÉSENTER
   Pars de -7 sur la droite graduée et avance de 8 pas vers la droite.
   Tu arrives à +1.</t>
        </is>
      </c>
      <c r="J5" s="10" t="n"/>
      <c r="K5" s="10" t="n"/>
      <c r="L5" s="10" t="n"/>
      <c r="M5" s="10" t="n"/>
      <c r="N5" s="10" t="n"/>
      <c r="O5" s="10" t="n"/>
      <c r="P5" s="10" t="n"/>
    </row>
    <row r="6">
      <c r="A6" s="9" t="inlineStr">
        <is>
          <t>C004</t>
        </is>
      </c>
      <c r="B6" s="9" t="inlineStr">
        <is>
          <t>5ème</t>
        </is>
      </c>
      <c r="C6" s="9" t="inlineStr">
        <is>
          <t>Mathématiques</t>
        </is>
      </c>
      <c r="D6" s="9" t="inlineStr">
        <is>
          <t>Un commerçant accorde une remise de 10 % sur un pagne affiché à 6 000 francs.
1) Calcule le montant de la remise.
2) Calcule le prix payé par le client.</t>
        </is>
      </c>
      <c r="E6" s="9" t="inlineStr">
        <is>
          <t>Remise = 600 F et prix payé = 5 400 F</t>
        </is>
      </c>
      <c r="F6" s="9" t="inlineStr">
        <is>
          <t>Remise = 1 200 F et prix payé = 5 400 F</t>
        </is>
      </c>
      <c r="G6" s="9" t="inlineStr">
        <is>
          <t>Faux</t>
        </is>
      </c>
      <c r="H6" s="9" t="inlineStr">
        <is>
          <t>C'est presque ça, courage ! Tu as trouvé le prix payé mais il y a une petite erreur pour la remise.</t>
        </is>
      </c>
      <c r="I6" s="9" t="inlineStr">
        <is>
          <t>Pour trouver le montant de la remise, il faut calculer 10% du prix initial du pagne. Tu fais 6 000 multiplié par 10, puis tu divises le tout par 100, ce qui donne 600 francs et non 1 200 francs. Pour la suite, tu enlèves cette remise de 600 francs au prix de départ, soit 6 000 moins 600, ce qui fait bien 5 400 francs à payer.</t>
        </is>
      </c>
      <c r="J6" s="10" t="n"/>
      <c r="K6" s="10" t="n"/>
      <c r="L6" s="10" t="n"/>
      <c r="M6" s="10" t="n"/>
      <c r="N6" s="10" t="n"/>
      <c r="O6" s="10" t="n"/>
      <c r="P6" s="10" t="n"/>
    </row>
    <row r="7">
      <c r="A7" s="9" t="inlineStr">
        <is>
          <t>C005</t>
        </is>
      </c>
      <c r="B7" s="9" t="inlineStr">
        <is>
          <t>Terminale (BAC)</t>
        </is>
      </c>
      <c r="C7" s="9" t="inlineStr">
        <is>
          <t>Histoire-Géographie</t>
        </is>
      </c>
      <c r="D7" s="9" t="inlineStr">
        <is>
          <t>Expliquez comment la Conférence de Bandung de 1955 a influencé la création du mouvement des Non-Alignés et donnez l'année de la première conférence officielle de ce mouvement.</t>
        </is>
      </c>
      <c r="E7" s="9" t="inlineStr">
        <is>
          <t>Bandung a jeté les bases diplomatiques en refusant la bipolarisation ; la première conférence officielle des Non-Alignés s'est tenue à Belgrade en 1961.</t>
        </is>
      </c>
      <c r="F7" s="9" t="inlineStr">
        <is>
          <t>L'Afrique subsaharienne est insérée dans la mondialisation par ses exportations massives de matières premières et de ressources énergétiques, mais elle subit une marginalisation sur le plan industriel et décisionnel, restant dépendante des cours mondiaux et des aides extérieures.</t>
        </is>
      </c>
      <c r="G7" s="9" t="inlineStr">
        <is>
          <t>Faux</t>
        </is>
      </c>
      <c r="H7" s="9" t="inlineStr">
        <is>
          <t>Attention, ta réponse ne répond pas à cet exercice.</t>
        </is>
      </c>
      <c r="I7" s="9" t="inlineStr">
        <is>
          <t>Ta réponse ne traite pas la question de cet exercice. Voici la démarche attendue :
Étape 1 : Analyser le contexte de la Conférence de Bandung (1955) où les pays asiatiques et africains indépendants se sont réunis pour affirmer leur souveraineté et rejeter la division du monde en deux blocs (Est-Ouest). Étape 2 : Montrer que cette démarche a inspiré les dirigeants des pays du Tiers-Monde à se regrouper plus formellement. Étape 3 : Citer l'événement marquant de la concrétisation de cette idée, à savoir la Conférence des Non-Alignés tenue à Belgrade en 1961.</t>
        </is>
      </c>
      <c r="J7" s="10" t="n"/>
      <c r="K7" s="10" t="n"/>
      <c r="L7" s="10" t="n"/>
      <c r="M7" s="10" t="n"/>
      <c r="N7" s="10" t="n"/>
      <c r="O7" s="10" t="n"/>
      <c r="P7" s="10" t="n"/>
    </row>
    <row r="8">
      <c r="A8" s="9" t="inlineStr">
        <is>
          <t>C006</t>
        </is>
      </c>
      <c r="B8" s="9" t="inlineStr">
        <is>
          <t>Terminale (BAC)</t>
        </is>
      </c>
      <c r="C8" s="9" t="inlineStr">
        <is>
          <t>Anglais</t>
        </is>
      </c>
      <c r="D8" s="9" t="inlineStr">
        <is>
          <t>Traduis en français (Thème) : The pineapple growers have been working hard since the early morning.</t>
        </is>
      </c>
      <c r="E8" s="9" t="inlineStr">
        <is>
          <t>Les producteurs d'ananas travaillent dur depuis tôt ce matin.</t>
        </is>
      </c>
      <c r="F8" s="9" t="inlineStr">
        <is>
          <t>The author's tone is critical, alarmed, and disapproving.</t>
        </is>
      </c>
      <c r="G8" s="9" t="inlineStr">
        <is>
          <t>Faux</t>
        </is>
      </c>
      <c r="H8" s="9" t="inlineStr">
        <is>
          <t>Attention, ta réponse ne répond pas à cet exercice.</t>
        </is>
      </c>
      <c r="I8" s="9" t="inlineStr">
        <is>
          <t>Ta réponse ne traite pas la question de cet exercice. Voici la démarche attendue :
1. Identifie le sujet : 'The pineapple growers' se traduit par 'Les producteurs d'ananas'. 2. Repère le verbe principal au présent continu : 'have been working' signifie 'travaillent' ou 'sont en train de travailler'. 3. Traduis l'adverbe et l'objet : 'hard' donne 'dur'. 4. Traduis la proposition temporelle : 'since the early morning' se traduit par 'depuis tôt ce matin'.</t>
        </is>
      </c>
      <c r="J8" s="10" t="n"/>
      <c r="K8" s="10" t="n"/>
      <c r="L8" s="10" t="n"/>
      <c r="M8" s="10" t="n"/>
      <c r="N8" s="10" t="n"/>
      <c r="O8" s="10" t="n"/>
      <c r="P8" s="10" t="n"/>
    </row>
    <row r="9">
      <c r="A9" s="9" t="inlineStr">
        <is>
          <t>C007</t>
        </is>
      </c>
      <c r="B9" s="9" t="inlineStr">
        <is>
          <t>3ème (BEPC)</t>
        </is>
      </c>
      <c r="C9" s="9" t="inlineStr">
        <is>
          <t>Allemand</t>
        </is>
      </c>
      <c r="D9" s="9" t="inlineStr">
        <is>
          <t>Transforme la phrase en remplaçant le nom par le pronom personnel qui convient : „Ayaba gibt ___ (der Hund) einen Knochen.“ (Utilise le pronom au datif)</t>
        </is>
      </c>
      <c r="E9" s="9" t="inlineStr">
        <is>
          <t>ihm</t>
        </is>
      </c>
      <c r="F9" s="9" t="inlineStr">
        <is>
          <t>haben ... gegessen</t>
        </is>
      </c>
      <c r="G9" s="9" t="inlineStr">
        <is>
          <t>Faux</t>
        </is>
      </c>
      <c r="H9" s="9" t="inlineStr">
        <is>
          <t>Attention, ta réponse ne répond pas à cet exercice.</t>
        </is>
      </c>
      <c r="I9" s="9" t="inlineStr">
        <is>
          <t>Ta réponse ne traite pas la question de cet exercice. Voici la démarche attendue :
1. Repère le verbe de la phrase : 'geben' (donner). 2. Rappelle-toi la règle d'usage du verbe 'geben' : il exige un complément d'objet indirect au datif. 3. Le nom 'der Hund' (le chien) est donc le complément d'objet indirect. 4. Trouve le pronom personnel au datif correspondant à 'der Hund' (masculin singulier). 5. Le pronom est 'ihm'.</t>
        </is>
      </c>
      <c r="J9" s="10" t="n"/>
      <c r="K9" s="10" t="n"/>
      <c r="L9" s="10" t="n"/>
      <c r="M9" s="10" t="n"/>
      <c r="N9" s="10" t="n"/>
      <c r="O9" s="10" t="n"/>
      <c r="P9" s="10" t="n"/>
    </row>
    <row r="10">
      <c r="A10" s="9" t="inlineStr">
        <is>
          <t>C008</t>
        </is>
      </c>
      <c r="B10" s="9" t="inlineStr">
        <is>
          <t>6ème</t>
        </is>
      </c>
      <c r="C10" s="9" t="inlineStr">
        <is>
          <t>Mathématiques</t>
        </is>
      </c>
      <c r="D10" s="9" t="inlineStr">
        <is>
          <t>Au marché, 7 ardoises identiques coûtent 2 100 francs.
1) Quel est le prix d'un ardoise ?
2) Mariam veut en acheter 12. Combien va-t-il payer ?</t>
        </is>
      </c>
      <c r="E10" s="9" t="inlineStr">
        <is>
          <t>Un ardoise coûte 300 F et 12 coûtent 3 600 F.</t>
        </is>
      </c>
      <c r="F10" s="9" t="inlineStr">
        <is>
          <t>Un ardoise coûte 301 F et 12 coûtent 3 600 F.</t>
        </is>
      </c>
      <c r="G10" s="9" t="inlineStr">
        <is>
          <t>Faux</t>
        </is>
      </c>
      <c r="H10" s="9" t="inlineStr">
        <is>
          <t>Ce n'est pas la bonne réponse, reprenons ensemble.</t>
        </is>
      </c>
      <c r="I10" s="9" t="inlineStr">
        <is>
          <t>Tu as écrit 301 là où il fallait 300. Reprenons la démarche :
Le prix est proportionnel au nombre d'articles.
1) PRIX D'UN SEUL
   On partage le prix total entre les 7 articles :
   Prix d'un = 2 100 ÷ 7
   Prix d'un = 300 F
2) PRIX DE 12
   On multiplie le prix d'un par 12 :
   Prix = 300 × 12
   Prix = 3 600 F
VÉRIFICATION
   12 est plus grand que 7, donc le prix doit être plus grand que 2 100 F.
   3 600 F est bien supérieur à 2 100 F.
À RETENIR
   Le prix unitaire est le point de départ de toute calculation proportionnelle.</t>
        </is>
      </c>
      <c r="J10" s="10" t="n"/>
      <c r="K10" s="10" t="n"/>
      <c r="L10" s="10" t="n"/>
      <c r="M10" s="10" t="n"/>
      <c r="N10" s="10" t="n"/>
      <c r="O10" s="10" t="n"/>
      <c r="P10" s="10" t="n"/>
    </row>
    <row r="11">
      <c r="A11" s="9" t="inlineStr">
        <is>
          <t>C009</t>
        </is>
      </c>
      <c r="B11" s="9" t="inlineStr">
        <is>
          <t>6ème</t>
        </is>
      </c>
      <c r="C11" s="9" t="inlineStr">
        <is>
          <t>Mathématiques</t>
        </is>
      </c>
      <c r="D11" s="9" t="inlineStr">
        <is>
          <t>Pose et effectue l'addition : 33,4 + 63,02.</t>
        </is>
      </c>
      <c r="E11" s="9" t="inlineStr">
        <is>
          <t>96,42</t>
        </is>
      </c>
      <c r="F11" s="9" t="inlineStr">
        <is>
          <t>96,42</t>
        </is>
      </c>
      <c r="G11" s="9" t="inlineStr">
        <is>
          <t>Juste</t>
        </is>
      </c>
      <c r="H11" s="9" t="inlineStr">
        <is>
          <t>Bravo, c'est un excellent travail ! Tu as le bon résultat.</t>
        </is>
      </c>
      <c r="I11" s="9" t="inlineStr">
        <is>
          <t>Pour additionner des nombres décimaux comme 33,4 et 63,02, on commence par bien aligner les virgules les unes sous les autres. Ensuite, on ajoute des zéros si nécessaire pour que les deux nombres aient le même nombre de chiffres après la virgule, ce qui donne 33,40 et 63,02. Enfin, on additionne colonne par colonne en partant de la droite : 0 + 2 = 2, puis 4 + 0 = 4, on pose la virgule, 3 + 3 = 6, et 3 + 6 = 9. On obtient bien 96,42.</t>
        </is>
      </c>
      <c r="J11" s="10" t="n"/>
      <c r="K11" s="10" t="n"/>
      <c r="L11" s="10" t="n"/>
      <c r="M11" s="10" t="n"/>
      <c r="N11" s="10" t="n"/>
      <c r="O11" s="10" t="n"/>
      <c r="P11" s="10" t="n"/>
    </row>
    <row r="12">
      <c r="A12" s="9" t="inlineStr">
        <is>
          <t>C010</t>
        </is>
      </c>
      <c r="B12" s="9" t="inlineStr">
        <is>
          <t>6ème</t>
        </is>
      </c>
      <c r="C12" s="9" t="inlineStr">
        <is>
          <t>Physique-Chimie-Technologie</t>
        </is>
      </c>
      <c r="D12" s="9" t="inlineStr">
        <is>
          <t>Tu veux mesurer le volume d'un caillou.
Tu verses 60 mL d'eau dans une éprouvette graduée, puis tu y plonges le caillou : le niveau monte à 76 mL.
Quel est le volume du caillou ?</t>
        </is>
      </c>
      <c r="E12" s="9" t="inlineStr">
        <is>
          <t>V = 16 mL</t>
        </is>
      </c>
      <c r="F12" s="9" t="inlineStr">
        <is>
          <t>V = 15 mL</t>
        </is>
      </c>
      <c r="G12" s="9" t="inlineStr">
        <is>
          <t>Faux</t>
        </is>
      </c>
      <c r="H12" s="9" t="inlineStr">
        <is>
          <t>Ce n'est pas la bonne réponse, reprenons ensemble.</t>
        </is>
      </c>
      <c r="I12" s="9" t="inlineStr">
        <is>
          <t>Tu as écrit 15 là où il fallait 16. Reprenons la démarche :
C'est la méthode du déplacement d'eau : un solide chasse un volume d'eau égal au sien.
1) VOLUME AVANT
   V₁ = 60 mL (eau seule)
2) VOLUME APRÈS
   V₂ = 76 mL (eau + caillou)
3) VOLUME DU CAILLOU
   V = V₂ - V₁
   V = 76 - 60
   V = 16 mL
POURQUOI ÇA MARCHE
   Le caillou prend la place de l'eau. La montée du niveau
   mesure donc directement la place qu'il occupe.
À RETENIR
   1 mL = 1 cm³. Le caillou occupe donc aussi 16 cm³.</t>
        </is>
      </c>
      <c r="J12" s="10" t="n"/>
      <c r="K12" s="10" t="n"/>
      <c r="L12" s="10" t="n"/>
      <c r="M12" s="10" t="n"/>
      <c r="N12" s="10" t="n"/>
      <c r="O12" s="10" t="n"/>
      <c r="P12" s="10" t="n"/>
    </row>
    <row r="13">
      <c r="A13" s="9" t="inlineStr">
        <is>
          <t>C011</t>
        </is>
      </c>
      <c r="B13" s="9" t="inlineStr">
        <is>
          <t>6ème</t>
        </is>
      </c>
      <c r="C13" s="9" t="inlineStr">
        <is>
          <t>Physique-Chimie-Technologie</t>
        </is>
      </c>
      <c r="D13" s="9" t="inlineStr">
        <is>
          <t>À Natitingou, le thermomètre indique 24 °C le matin et 29 °C à midi.
1) Calcule l'écart de température.
2) La température a-t-elle augmenté ou diminué ?</t>
        </is>
      </c>
      <c r="E13" s="9" t="inlineStr">
        <is>
          <t>L'écart est de 5 °C ; la température a augmenté.</t>
        </is>
      </c>
      <c r="F13" s="9" t="inlineStr">
        <is>
          <t>L'écart est de 5 °C ; la température a augmenté.</t>
        </is>
      </c>
      <c r="G13" s="9" t="inlineStr">
        <is>
          <t>Juste</t>
        </is>
      </c>
      <c r="H13" s="9" t="inlineStr">
        <is>
          <t>Bravo, c'est un excellent travail ! Tu es sur la bonne voie pour le BEPC.</t>
        </is>
      </c>
      <c r="I13" s="9" t="inlineStr">
        <is>
          <t>Pour trouver l'écart de température, on prend la plus grande valeur et on lui soustrait la plus petite, ce qui donne 29 °C - 24 °C = 5 °C. Comme la température passe de 24 °C le matin à 29 °C à midi, elle a bien augmenté. C'est exactement le raisonnement attendu !</t>
        </is>
      </c>
      <c r="J13" s="10" t="n"/>
      <c r="K13" s="10" t="n"/>
      <c r="L13" s="10" t="n"/>
      <c r="M13" s="10" t="n"/>
      <c r="N13" s="10" t="n"/>
      <c r="O13" s="10" t="n"/>
      <c r="P13" s="10" t="n"/>
    </row>
    <row r="14">
      <c r="A14" s="9" t="inlineStr">
        <is>
          <t>C012</t>
        </is>
      </c>
      <c r="B14" s="9" t="inlineStr">
        <is>
          <t>5ème</t>
        </is>
      </c>
      <c r="C14" s="9" t="inlineStr">
        <is>
          <t>Physique-Chimie-Technologie</t>
        </is>
      </c>
      <c r="D14" s="9" t="inlineStr">
        <is>
          <t>Convertis 4,75 cm en mm.</t>
        </is>
      </c>
      <c r="E14" s="9" t="inlineStr">
        <is>
          <t>4,75 cm = 47,5 mm</t>
        </is>
      </c>
      <c r="F14" s="9" t="inlineStr">
        <is>
          <t>9,5 cm = 47,5 mm</t>
        </is>
      </c>
      <c r="G14" s="9" t="inlineStr">
        <is>
          <t>Faux</t>
        </is>
      </c>
      <c r="H14" s="9" t="inlineStr">
        <is>
          <t>Ce n'est pas la bonne réponse, reprenons ensemble.</t>
        </is>
      </c>
      <c r="I14" s="9" t="inlineStr">
        <is>
          <t>Tu as écrit 9,5 là où il fallait 4,75. Reprenons la démarche :
On passe d'une unité de longueur à une plus petite : le nombre AUGMENTE.
1) ON REPÈRE LE RAPPORT
   1 cm = 10 mm
2) ON MULTIPLIE
   4,75 × 10 = 47,5
3) ON CONCLUT
   4,75 cm = 47,5 mm
COMMENT NE PAS SE TROMPER
   Vers une unité PLUS PETITE, on multiplie : il en faut davantage.
   Vers une unité PLUS GRANDE, on divise.</t>
        </is>
      </c>
      <c r="J14" s="10" t="n"/>
      <c r="K14" s="10" t="n"/>
      <c r="L14" s="10" t="n"/>
      <c r="M14" s="10" t="n"/>
      <c r="N14" s="10" t="n"/>
      <c r="O14" s="10" t="n"/>
      <c r="P14" s="10" t="n"/>
    </row>
    <row r="15">
      <c r="A15" s="9" t="inlineStr">
        <is>
          <t>C013</t>
        </is>
      </c>
      <c r="B15" s="9" t="inlineStr">
        <is>
          <t>4ème</t>
        </is>
      </c>
      <c r="C15" s="9" t="inlineStr">
        <is>
          <t>Physique-Chimie-Technologie</t>
        </is>
      </c>
      <c r="D15" s="9" t="inlineStr">
        <is>
          <t>La formule de la molécule de acide sulfurique est H₂SO₄.
1) Quels atomes la composent, et combien de chaque sorte ?
2) Combien d'atomes compte-t-on en tout dans 3 molécule(s) de acide sulfurique ?</t>
        </is>
      </c>
      <c r="E15" s="9" t="inlineStr">
        <is>
          <t>2 atome(s) de hydrogène, 1 atome(s) de soufre, 4 atome(s) de oxygène ; soit 21 atomes dans 3 molécule(s).</t>
        </is>
      </c>
      <c r="F15" s="9" t="inlineStr">
        <is>
          <t>2 atome(s) de hydrogène, 1 atome(s) de soufre, 4 atome(s) de oxygène ; soit 21 atomes dans 3 molécule(s).</t>
        </is>
      </c>
      <c r="G15" s="9" t="inlineStr">
        <is>
          <t>Juste</t>
        </is>
      </c>
      <c r="H15" s="9" t="inlineStr">
        <is>
          <t>C'est juste, continue comme ça !</t>
        </is>
      </c>
      <c r="I15" s="9" t="inlineStr">
        <is>
          <t>1) LES ATOMES DE LA MOLÉCULE
   Le chiffre écrit en INDICE, en bas à droite d'un symbole, donne le nombre
   d'atomes de cette sorte. Sans chiffre, il n'y en a qu'un.
   • hydrogène : 2 atome(s)
   • soufre : 1 atome(s)
   • oxygène : 4 atome(s)
   Total pour UNE molécule : 7 atomes.
2) POUR 3 MOLÉCULE(S)
   On multiplie par 3 :
   7 × 3 = 21 atomes
À RETENIR
   Une molécule est un assemblage d'atomes liés entre eux.
   Le coefficient devant la formule multiplie TOUS les atomes.</t>
        </is>
      </c>
      <c r="J15" s="10" t="n"/>
      <c r="K15" s="10" t="n"/>
      <c r="L15" s="10" t="n"/>
      <c r="M15" s="10" t="n"/>
      <c r="N15" s="10" t="n"/>
      <c r="O15" s="10" t="n"/>
      <c r="P15" s="10" t="n"/>
    </row>
    <row r="16">
      <c r="A16" s="9" t="inlineStr">
        <is>
          <t>C014</t>
        </is>
      </c>
      <c r="B16" s="9" t="inlineStr">
        <is>
          <t>6ème</t>
        </is>
      </c>
      <c r="C16" s="9" t="inlineStr">
        <is>
          <t>Sciences de la Vie et de la Terre</t>
        </is>
      </c>
      <c r="D16" s="9" t="inlineStr">
        <is>
          <t>Au cours d'une leçon de SVT au CEG Tokoin, le professeur présente le crâne d'un chat. Les élèves remarquent l'absence de dents plates pour broyer, mais la présence de longues canines bien développées et des carnassières. Explique pourquoi ce crâne ne peut pas appartenir à un animal herbivore.</t>
        </is>
      </c>
      <c r="E16" s="9" t="inlineStr">
        <is>
          <t>Ce crâne ne peut pas appartenir à un herbivore car il possède des canines développées et des dents carnassières adaptées pour déchirer la viande, et non des molaires larges à crêtes pour broyer l'herbe.</t>
        </is>
      </c>
      <c r="F16" s="9" t="inlineStr">
        <is>
          <t>Pied de riz -&gt; Grenouille -&gt; Héron (ou une autre chaîne valide comme Plante -&gt; Insecte -&gt; Grenouille)</t>
        </is>
      </c>
      <c r="G16" s="9" t="inlineStr">
        <is>
          <t>Faux</t>
        </is>
      </c>
      <c r="H16" s="9" t="inlineStr">
        <is>
          <t>Attention, ta réponse ne répond pas à cet exercice.</t>
        </is>
      </c>
      <c r="I16" s="9" t="inlineStr">
        <is>
          <t>Ta réponse ne traite pas la question de cet exercice. Voici la démarche attendue :
1. Analyser les caractéristiques dentaires décrites : canines longues et carnassières. 2. Relier ces caractéristiques à leur fonction : la déchirure et la capture de proies (carnivore). 3. Conclure que l'absence de dents plates (molaires herbivores) exclut la classification herbivore.</t>
        </is>
      </c>
      <c r="J16" s="10" t="n"/>
      <c r="K16" s="10" t="n"/>
      <c r="L16" s="10" t="n"/>
      <c r="M16" s="10" t="n"/>
      <c r="N16" s="10" t="n"/>
      <c r="O16" s="10" t="n"/>
      <c r="P16" s="10" t="n"/>
    </row>
    <row r="17">
      <c r="A17" s="9" t="inlineStr">
        <is>
          <t>C015</t>
        </is>
      </c>
      <c r="B17" s="9" t="inlineStr">
        <is>
          <t>3ème (BEPC)</t>
        </is>
      </c>
      <c r="C17" s="9" t="inlineStr">
        <is>
          <t>Communication écrite</t>
        </is>
      </c>
      <c r="D17" s="9" t="inlineStr">
        <is>
          <t>Mets le verbe entre parenthèses au présent de l'indicatif : Koffi (acheter) des condiments au marché de Dantokpa.</t>
        </is>
      </c>
      <c r="E17" s="9" t="inlineStr">
        <is>
          <t>achète</t>
        </is>
      </c>
      <c r="F17" s="9" t="inlineStr">
        <is>
          <t>achète</t>
        </is>
      </c>
      <c r="G17" s="9" t="inlineStr">
        <is>
          <t>Juste</t>
        </is>
      </c>
      <c r="H17" s="9" t="inlineStr">
        <is>
          <t>Très bien, c'est la bonne réponse.</t>
        </is>
      </c>
      <c r="I17" s="9" t="inlineStr">
        <is>
          <t>1. Repère le sujet de la phrase : Koffi, qui correspond à la troisième personne du singulier (il).
2. Repère le verbe entre parenthèses : acheter, qui est un verbe du premier groupe se terminant en -er.
3. Retire la terminaison -er du radical (achet-).
4. Ajoute la terminaison du présent de l'indicatif pour 'il', qui est -e.
5. Assemble le tout : achète.</t>
        </is>
      </c>
      <c r="J17" s="10" t="n"/>
      <c r="K17" s="10" t="n"/>
      <c r="L17" s="10" t="n"/>
      <c r="M17" s="10" t="n"/>
      <c r="N17" s="10" t="n"/>
      <c r="O17" s="10" t="n"/>
      <c r="P17" s="10" t="n"/>
    </row>
    <row r="18">
      <c r="A18" s="9" t="inlineStr">
        <is>
          <t>C016</t>
        </is>
      </c>
      <c r="B18" s="9" t="inlineStr">
        <is>
          <t>4ème</t>
        </is>
      </c>
      <c r="C18" s="9" t="inlineStr">
        <is>
          <t>Mathématiques</t>
        </is>
      </c>
      <c r="D18" s="9" t="inlineStr">
        <is>
          <t>Développe puis réduis : B = 6(x + 7) - 3(x - 1).</t>
        </is>
      </c>
      <c r="E18" s="9" t="inlineStr">
        <is>
          <t>B = 3x + 45</t>
        </is>
      </c>
      <c r="F18" s="9" t="inlineStr">
        <is>
          <t>B = 2x + 45</t>
        </is>
      </c>
      <c r="G18" s="9" t="inlineStr">
        <is>
          <t>Faux</t>
        </is>
      </c>
      <c r="H18" s="9" t="inlineStr">
        <is>
          <t>C'est presque ça, courage! Tu as fait une petite erreur de calcul sur les nombres, mais tu as bien compris la méthode.</t>
        </is>
      </c>
      <c r="I18" s="9" t="inlineStr">
        <is>
          <t>Pour développer B = 6(x + 7) - 3(x - 1), on utilise la distributivité. Première étape, on multiplie 6 par x et 6 par 7, ce qui donne 6x + 42. Deuxième étape, on multiplie -3 par x et -3 par -1, ce qui donne -3x + 3. Attention au signe moins devant la parenthèse qui change les signes! Troisième étape, on regroupe les termes en x et les nombres seuls : B = 6x - 3x + 42 + 3. Enfin, on réduit : 6x - 3x donne 3x, et 42 + 3 donne 45. Le résultat final est donc B = 3x + 45.</t>
        </is>
      </c>
      <c r="J18" s="10" t="n"/>
      <c r="K18" s="10" t="n"/>
      <c r="L18" s="10" t="n"/>
      <c r="M18" s="10" t="n"/>
      <c r="N18" s="10" t="n"/>
      <c r="O18" s="10" t="n"/>
      <c r="P18" s="10" t="n"/>
    </row>
    <row r="19">
      <c r="A19" s="9" t="inlineStr">
        <is>
          <t>C017</t>
        </is>
      </c>
      <c r="B19" s="9" t="inlineStr">
        <is>
          <t>Terminale (BAC)</t>
        </is>
      </c>
      <c r="C19" s="9" t="inlineStr">
        <is>
          <t>Mathématiques</t>
        </is>
      </c>
      <c r="D19" s="9" t="inlineStr">
        <is>
          <t>Soit (uₙ) la suite arithmétique de premier terme u₀ = 8 et de raison r = 9.
1) Exprime uₙ en fonction de n.
2) Calcule u16.
3) Calcule la somme u₀ + u₁ + … + u16.</t>
        </is>
      </c>
      <c r="E19" s="9" t="inlineStr">
        <is>
          <t>uₙ = 8 + 9n, u16 = 152 et la somme vaut 1 360.</t>
        </is>
      </c>
      <c r="F19" s="9" t="inlineStr">
        <is>
          <t>uₙ = 8 + 9n, u16 = 152 et la somme vaut 1 360.</t>
        </is>
      </c>
      <c r="G19" s="9" t="inlineStr">
        <is>
          <t>Juste</t>
        </is>
      </c>
      <c r="H19" s="9" t="inlineStr">
        <is>
          <t>Très bien, c'est la bonne réponse.</t>
        </is>
      </c>
      <c r="I19" s="9" t="inlineStr">
        <is>
          <t>1) TERME GÉNÉRAL
   Pour une suite arithmétique : uₙ = u₀ + n × r
   uₙ = 8 + 9n
2) CALCUL DE u16
   u16 = 8 + 9 × 16
   u16 = 8 + 144
   u16 = 152
3) SOMME DES 17 PREMIERS TERMES
   S = (nombre de termes) × (premier + dernier) ÷ 2
   S = 17 × (8 + 152) ÷ 2
   S = 17 × 160 ÷ 2
   S = 1 360
À RETENIR
   Dans une suite arithmétique, on passe d'un terme au suivant
   en AJOUTANT toujours la même raison r.</t>
        </is>
      </c>
      <c r="J19" s="10" t="n"/>
      <c r="K19" s="10" t="n"/>
      <c r="L19" s="10" t="n"/>
      <c r="M19" s="10" t="n"/>
      <c r="N19" s="10" t="n"/>
      <c r="O19" s="10" t="n"/>
      <c r="P19" s="10" t="n"/>
    </row>
    <row r="20">
      <c r="A20" s="9" t="inlineStr">
        <is>
          <t>C018</t>
        </is>
      </c>
      <c r="B20" s="9" t="inlineStr">
        <is>
          <t>6ème</t>
        </is>
      </c>
      <c r="C20" s="9" t="inlineStr">
        <is>
          <t>Mathématiques</t>
        </is>
      </c>
      <c r="D20" s="9" t="inlineStr">
        <is>
          <t>Au marché, 5 stylos identiques coûtent 2 000 francs.
1) Quel est le prix d'un stylo ?
2) Yacoubou veut en acheter 9. Combien va-t-il payer ?</t>
        </is>
      </c>
      <c r="E20" s="9" t="inlineStr">
        <is>
          <t>Un stylo coûte 400 F et 9 coûtent 3 600 F.</t>
        </is>
      </c>
      <c r="F20" s="9" t="inlineStr">
        <is>
          <t>Un stylo coûte 400 F et 9 coûtent 3 600 F.</t>
        </is>
      </c>
      <c r="G20" s="9" t="inlineStr">
        <is>
          <t>Juste</t>
        </is>
      </c>
      <c r="H20" s="9" t="inlineStr">
        <is>
          <t>C'est juste, continue comme ça !</t>
        </is>
      </c>
      <c r="I20" s="9" t="inlineStr">
        <is>
          <t>Le prix est proportionnel au nombre d'articles.
1) PRIX D'UN SEUL
   On partage le prix total entre les 5 articles :
   2 000 ÷ 5 = 400
   Un stylo coûte 400 F.
2) PRIX DE 9
   On multiplie le prix unitaire par 9 :
   400 × 9 = 3 600
   Yacoubou paiera 3 600 F.
VÉRIFICATION
   9 est plus grand que 5, donc le prix doit être plus grand que 2 000 F.
   3 600 F l'est bien. Le calcul est juste.</t>
        </is>
      </c>
      <c r="J20" s="10" t="n"/>
      <c r="K20" s="10" t="n"/>
      <c r="L20" s="10" t="n"/>
      <c r="M20" s="10" t="n"/>
      <c r="N20" s="10" t="n"/>
      <c r="O20" s="10" t="n"/>
      <c r="P20" s="10" t="n"/>
    </row>
    <row r="21">
      <c r="A21" s="9" t="inlineStr">
        <is>
          <t>C019</t>
        </is>
      </c>
      <c r="B21" s="9" t="inlineStr">
        <is>
          <t>3ème (BEPC)</t>
        </is>
      </c>
      <c r="C21" s="9" t="inlineStr">
        <is>
          <t>Sciences de la Vie et de la Terre</t>
        </is>
      </c>
      <c r="D21" s="9" t="inlineStr">
        <is>
          <t>Nomme l'organe reproducteur femelle qui produit les gamètes femelles appelés ovules.</t>
        </is>
      </c>
      <c r="E21" s="9" t="inlineStr">
        <is>
          <t>Les ovaires.</t>
        </is>
      </c>
      <c r="F21" s="9" t="inlineStr">
        <is>
          <t>Les ovaires.</t>
        </is>
      </c>
      <c r="G21" s="9" t="inlineStr">
        <is>
          <t>Juste</t>
        </is>
      </c>
      <c r="H21" s="9" t="inlineStr">
        <is>
          <t>C'est juste, continue comme ça !</t>
        </is>
      </c>
      <c r="I21" s="9" t="inlineStr">
        <is>
          <t>1. Rappelle-toi le système reproducteur féminin humain. 2. Identifie les organes glandulaires qui fabriquent les cellules reproductrices (les gamètes). 3. Conclus que ce sont les ovaires qui produisent les ovules et les hormones.</t>
        </is>
      </c>
      <c r="J21" s="10" t="n"/>
      <c r="K21" s="10" t="n"/>
      <c r="L21" s="10" t="n"/>
      <c r="M21" s="10" t="n"/>
      <c r="N21" s="10" t="n"/>
      <c r="O21" s="10" t="n"/>
      <c r="P21" s="10" t="n"/>
    </row>
    <row r="22">
      <c r="A22" s="9" t="inlineStr">
        <is>
          <t>C020</t>
        </is>
      </c>
      <c r="B22" s="9" t="inlineStr">
        <is>
          <t>5ème</t>
        </is>
      </c>
      <c r="C22" s="9" t="inlineStr">
        <is>
          <t>Sciences de la Vie et de la Terre</t>
        </is>
      </c>
      <c r="D22" s="9" t="inlineStr">
        <is>
          <t>Au marché Dantokpa à Cotonou, un marchand observe un tilapia (poisson) fraîchement pêché qui ouvre et ferme continuellement sa bouche et ses opercules. Nomme l'organe respiratoire qui permet à ce poisson de respirer sous l'eau.</t>
        </is>
      </c>
      <c r="E22" s="9" t="inlineStr">
        <is>
          <t>Les branchies</t>
        </is>
      </c>
      <c r="F22" s="9" t="inlineStr">
        <is>
          <t>Les branchies</t>
        </is>
      </c>
      <c r="G22" s="9" t="inlineStr">
        <is>
          <t>Juste</t>
        </is>
      </c>
      <c r="H22" s="9" t="inlineStr">
        <is>
          <t>C'est juste, continue comme ça !</t>
        </is>
      </c>
      <c r="I22" s="9" t="inlineStr">
        <is>
          <t>1. Identifier l'animal : Le tilapia est un poisson. 2. Se rappeler la biologie des poissons : Les poissons vivent dans l'eau et ont besoin d'absorber le dioxygène dissous dans l'eau. 3. Nommer l'organe adapté : C'est l'appareil branchial, composé de branchies situées sous les opercules.</t>
        </is>
      </c>
      <c r="J22" s="10" t="n"/>
      <c r="K22" s="10" t="n"/>
      <c r="L22" s="10" t="n"/>
      <c r="M22" s="10" t="n"/>
      <c r="N22" s="10" t="n"/>
      <c r="O22" s="10" t="n"/>
      <c r="P22" s="10" t="n"/>
    </row>
    <row r="23">
      <c r="A23" s="9" t="inlineStr">
        <is>
          <t>C021</t>
        </is>
      </c>
      <c r="B23" s="9" t="inlineStr">
        <is>
          <t>4ème</t>
        </is>
      </c>
      <c r="C23" s="9" t="inlineStr">
        <is>
          <t>Mathématiques</t>
        </is>
      </c>
      <c r="D23" s="9" t="inlineStr">
        <is>
          <t>Écris sous la forme d'une seule puissance de 10 :
A = 10^5 × 10^4.</t>
        </is>
      </c>
      <c r="E23" s="9" t="inlineStr">
        <is>
          <t>A = 10^9</t>
        </is>
      </c>
      <c r="F23" s="9" t="inlineStr">
        <is>
          <t>A = 20^9</t>
        </is>
      </c>
      <c r="G23" s="9" t="inlineStr">
        <is>
          <t>Faux</t>
        </is>
      </c>
      <c r="H23" s="9" t="inlineStr">
        <is>
          <t>Ce n'est pas la bonne réponse, reprenons ensemble.</t>
        </is>
      </c>
      <c r="I23" s="9" t="inlineStr">
        <is>
          <t>Tu as écrit 20 là où il fallait 10. Reprenons la démarche :
Pour multiplier deux puissances d'un MÊME nombre, on additionne les exposants.
1) On écrit la règle :
   a^m × a^n = a^(m+n)
2) Ici la base est 10 dans les deux cas :
   A = 10^5 × 10^4 = 10^(5+4)
3) A = 10^9
VÉRIFICATION
   10^5 = 100 000 et 10^4 = 10 000
   Leur produit vaut 1 000 000 000, et 10^9 = 1 000 000 000.
ATTENTION
   Cette règle ne vaut que si les BASES sont identiques.</t>
        </is>
      </c>
      <c r="J23" s="10" t="n"/>
      <c r="K23" s="10" t="n"/>
      <c r="L23" s="10" t="n"/>
      <c r="M23" s="10" t="n"/>
      <c r="N23" s="10" t="n"/>
      <c r="O23" s="10" t="n"/>
      <c r="P23" s="10" t="n"/>
    </row>
    <row r="24">
      <c r="A24" s="9" t="inlineStr">
        <is>
          <t>C022</t>
        </is>
      </c>
      <c r="B24" s="9" t="inlineStr">
        <is>
          <t>5ème</t>
        </is>
      </c>
      <c r="C24" s="9" t="inlineStr">
        <is>
          <t>Mathématiques</t>
        </is>
      </c>
      <c r="D24" s="9" t="inlineStr">
        <is>
          <t>Pose et effectue l'addition : 124,1 + 206,03.</t>
        </is>
      </c>
      <c r="E24" s="9" t="inlineStr">
        <is>
          <t>330,13</t>
        </is>
      </c>
      <c r="F24" s="9" t="inlineStr">
        <is>
          <t>330,13</t>
        </is>
      </c>
      <c r="G24" s="9" t="inlineStr">
        <is>
          <t>Juste</t>
        </is>
      </c>
      <c r="H24" s="9" t="inlineStr">
        <is>
          <t>C'est juste, continue comme ça !</t>
        </is>
      </c>
      <c r="I24" s="9" t="inlineStr">
        <is>
          <t>Pour additionner des nombres décimaux, on aligne les virgules.
1) On écrit les deux nombres l'un sous l'autre, virgule sous virgule.
2) On complète avec des zéros pour avoir autant de chiffres après la virgule :
   124,1 s'écrit 124,10
   206,03 s'écrit 206,03
3) On additionne colonne par colonne, en partant de la droite, sans oublier les retenues.
4) On abaisse la virgule dans le résultat.
Résultat : 330,13
Ajouter un zéro à droite après la virgule ne change pas la valeur du nombre.</t>
        </is>
      </c>
      <c r="J24" s="10" t="n"/>
      <c r="K24" s="10" t="n"/>
      <c r="L24" s="10" t="n"/>
      <c r="M24" s="10" t="n"/>
      <c r="N24" s="10" t="n"/>
      <c r="O24" s="10" t="n"/>
      <c r="P24" s="10" t="n"/>
    </row>
    <row r="25">
      <c r="A25" s="9" t="inlineStr">
        <is>
          <t>C023</t>
        </is>
      </c>
      <c r="B25" s="9" t="inlineStr">
        <is>
          <t>5ème</t>
        </is>
      </c>
      <c r="C25" s="9" t="inlineStr">
        <is>
          <t>Sciences de la Vie et de la Terre</t>
        </is>
      </c>
      <c r="D25" s="9" t="inlineStr">
        <is>
          <t>Un cultivateur de Glazoué observe que ses jeunes plants de papayer ont des tiges qui grandissent verticalement et portent des bourgeons terminaux. Explique le rôle de ce bourgeon terminal pour la plante.</t>
        </is>
      </c>
      <c r="E25" s="9" t="inlineStr">
        <is>
          <t>Il assure la croissance en longueur de la tige.</t>
        </is>
      </c>
      <c r="F25" s="9" t="inlineStr">
        <is>
          <t>Le sol.</t>
        </is>
      </c>
      <c r="G25" s="9" t="inlineStr">
        <is>
          <t>Faux</t>
        </is>
      </c>
      <c r="H25" s="9" t="inlineStr">
        <is>
          <t>Attention, ta réponse ne répond pas à cet exercice.</t>
        </is>
      </c>
      <c r="I25" s="9" t="inlineStr">
        <is>
          <t>Ta réponse ne traite pas la question de cet exercice. Voici la démarche attendue :
1. Localiser l'organe : Le bourgeon terminal se trouve à l'extrémité de la tige. 2. Analyser son action : Il contient des cellules meristemiques capables de se diviser rapidement. 3. Conclure sur son rôle : Sa croissance pousse la tige vers le haut, ce qui permet à la plante de chercher la lumière du soleil.</t>
        </is>
      </c>
      <c r="J25" s="10" t="n"/>
      <c r="K25" s="10" t="n"/>
      <c r="L25" s="10" t="n"/>
      <c r="M25" s="10" t="n"/>
      <c r="N25" s="10" t="n"/>
      <c r="O25" s="10" t="n"/>
      <c r="P25" s="10" t="n"/>
    </row>
    <row r="26">
      <c r="A26" s="9" t="inlineStr">
        <is>
          <t>C024</t>
        </is>
      </c>
      <c r="B26" s="9" t="inlineStr">
        <is>
          <t>4ème</t>
        </is>
      </c>
      <c r="C26" s="9" t="inlineStr">
        <is>
          <t>Mathématiques</t>
        </is>
      </c>
      <c r="D26" s="9" t="inlineStr">
        <is>
          <t>Développe puis réduis : B = 4(x + 6) - 4(x - 1).</t>
        </is>
      </c>
      <c r="E26" s="9" t="inlineStr">
        <is>
          <t>B = 28</t>
        </is>
      </c>
      <c r="F26" s="9" t="inlineStr">
        <is>
          <t>28</t>
        </is>
      </c>
      <c r="G26" s="9" t="inlineStr">
        <is>
          <t>Juste</t>
        </is>
      </c>
      <c r="H26" s="9" t="inlineStr">
        <is>
          <t>C'est juste, continue comme ça !</t>
        </is>
      </c>
      <c r="I26" s="9" t="inlineStr">
        <is>
          <t>1) On développe chaque partie en multipliant 4 avec chaque terme de la première parenthèse, et -4 avec chaque terme de la seconde : B = 4x + 24 - 4x + 4.
2) On regroupe les termes semblables : les x s'additionnent entre eux et les nombres entre eux.
3) 4x - 4x = 0, il ne reste donc que les nombres : 24 + 4 = 28.
4) B = 28.</t>
        </is>
      </c>
      <c r="J26" s="10" t="n"/>
      <c r="K26" s="10" t="n"/>
      <c r="L26" s="10" t="n"/>
      <c r="M26" s="10" t="n"/>
      <c r="N26" s="10" t="n"/>
      <c r="O26" s="10" t="n"/>
      <c r="P26" s="10" t="n"/>
    </row>
    <row r="27">
      <c r="A27" s="9" t="inlineStr">
        <is>
          <t>C025</t>
        </is>
      </c>
      <c r="B27" s="9" t="inlineStr">
        <is>
          <t>Terminale (BAC)</t>
        </is>
      </c>
      <c r="C27" s="9" t="inlineStr">
        <is>
          <t>Sciences de la Vie et de la Terre</t>
        </is>
      </c>
      <c r="D27" s="9" t="inlineStr">
        <is>
          <t>Dans un élevage de lapins à Cotonou, on croise une lapine à pelage blanc avec un lapin à pelage noir. Tous les lapereaux de la F1 ont un pelage gris intermédiaire. Quel est le mode de transmission de ce caractère ?</t>
        </is>
      </c>
      <c r="E27" s="9" t="inlineStr">
        <is>
          <t>Il s'agit d'une codominance (ou dominance incomplète) avec des allèles non hiérarchisés.</t>
        </is>
      </c>
      <c r="F27" s="9" t="inlineStr">
        <is>
          <t>La dérive génétique est la modification aléatoire de la fréquence des allèles dans une population, due au hasard lors de la reproduction, particulièrement visible dans les petites populations.</t>
        </is>
      </c>
      <c r="G27" s="9" t="inlineStr">
        <is>
          <t>Faux</t>
        </is>
      </c>
      <c r="H27" s="9" t="inlineStr">
        <is>
          <t>Attention, ta réponse ne répond pas à cet exercice.</t>
        </is>
      </c>
      <c r="I27" s="9" t="inlineStr">
        <is>
          <t>Ta réponse ne traite pas la question de cet exercice. Voici la démarche attendue :
1. Analyser le phénotype de la F1 : l'absence d'un des deux parents (blanc ou noir) et l'apparition d'un phénotype intermédiaire (gris) montrent que les deux allèles s'expriment ou se mélangent.
2. Écarter la dominance simple : si l'un dominait totalement, on aurait obtenu soit du blanc, soit du noir.
3. Conclure : il s'agit d'une relation d'interaction allélique où les allèles sont codominants ou en dominance incomplète.</t>
        </is>
      </c>
      <c r="J27" s="10" t="n"/>
      <c r="K27" s="10" t="n"/>
      <c r="L27" s="10" t="n"/>
      <c r="M27" s="10" t="n"/>
      <c r="N27" s="10" t="n"/>
      <c r="O27" s="10" t="n"/>
      <c r="P27" s="10" t="n"/>
    </row>
    <row r="28">
      <c r="A28" s="9" t="inlineStr">
        <is>
          <t>C026</t>
        </is>
      </c>
      <c r="B28" s="9" t="inlineStr">
        <is>
          <t>6ème</t>
        </is>
      </c>
      <c r="C28" s="9" t="inlineStr">
        <is>
          <t>Physique-Chimie-Technologie</t>
        </is>
      </c>
      <c r="D28" s="9" t="inlineStr">
        <is>
          <t>Convertis 11,75 km en m.</t>
        </is>
      </c>
      <c r="E28" s="9" t="inlineStr">
        <is>
          <t>11,75 km = 11 750 m</t>
        </is>
      </c>
      <c r="F28" s="9" t="inlineStr">
        <is>
          <t>23,5 km = 11 750 m</t>
        </is>
      </c>
      <c r="G28" s="9" t="inlineStr">
        <is>
          <t>Faux</t>
        </is>
      </c>
      <c r="H28" s="9" t="inlineStr">
        <is>
          <t>Ce n'est pas la bonne réponse, reprenons ensemble.</t>
        </is>
      </c>
      <c r="I28" s="9" t="inlineStr">
        <is>
          <t>Tu as écrit 23,5 là où il fallait 11,75. Reprenons la démarche :
On passe d'une unité de distance à une plus petite : le nombre AUGMENTE.
1) ON REPÈRE LE RAPPORT
   1 km = 1 000 m
2) ON MULTIPLIE
   11,75 × 1 000 = 11 750
3) ON CONCLUT
   11,75 km = 11 750 m
COMMENT NE PAS SE TROMPER
   Vers une unité PLUS PETITE, on multiplie : il en faut davantage.
   Vers une unité PLUS GRANDE, on divise.</t>
        </is>
      </c>
      <c r="J28" s="10" t="n"/>
      <c r="K28" s="10" t="n"/>
      <c r="L28" s="10" t="n"/>
      <c r="M28" s="10" t="n"/>
      <c r="N28" s="10" t="n"/>
      <c r="O28" s="10" t="n"/>
      <c r="P28" s="10" t="n"/>
    </row>
    <row r="29">
      <c r="A29" s="9" t="inlineStr">
        <is>
          <t>C027</t>
        </is>
      </c>
      <c r="B29" s="9" t="inlineStr">
        <is>
          <t>6ème</t>
        </is>
      </c>
      <c r="C29" s="9" t="inlineStr">
        <is>
          <t>Mathématiques</t>
        </is>
      </c>
      <c r="D29" s="9" t="inlineStr">
        <is>
          <t>Un champ rectangulaire mesure 15 m de longueur et 6 m de largeur.
1) Calcule son périmètre.
2) Calcule son aire.</t>
        </is>
      </c>
      <c r="E29" s="9" t="inlineStr">
        <is>
          <t>Périmètre = 42 m et aire = 90 m²</t>
        </is>
      </c>
      <c r="F29" s="9" t="inlineStr">
        <is>
          <t>Périmètre = 42 m et aire = 90 m²</t>
        </is>
      </c>
      <c r="G29" s="9" t="inlineStr">
        <is>
          <t>Juste</t>
        </is>
      </c>
      <c r="H29" s="9" t="inlineStr">
        <is>
          <t>Très bien, c'est la bonne réponse.</t>
        </is>
      </c>
      <c r="I29" s="9" t="inlineStr">
        <is>
          <t>1) LE PÉRIMÈTRE
   C'est la longueur du tour.
   P = 2 × (Longueur + largeur)
   P = 2 × (15 + 6)
   P = 2 × 21
   P = 42 m
2) L'AIRE
   C'est la surface occupée.
   A = Longueur × largeur
   A = 15 × 6
   A = 90 m²
À RETENIR
   Le périmètre se mesure en mètres, l'aire en mètres carrés (m²).
   Pour clôturer ce champ, il faudrait 42 m de grillage.
   Pour le couvrir entièrement, il faudrait traiter 90 m².</t>
        </is>
      </c>
      <c r="J29" s="10" t="n"/>
      <c r="K29" s="10" t="n"/>
      <c r="L29" s="10" t="n"/>
      <c r="M29" s="10" t="n"/>
      <c r="N29" s="10" t="n"/>
      <c r="O29" s="10" t="n"/>
      <c r="P29" s="10" t="n"/>
    </row>
    <row r="30">
      <c r="A30" s="9" t="inlineStr">
        <is>
          <t>C028</t>
        </is>
      </c>
      <c r="B30" s="9" t="inlineStr">
        <is>
          <t>6ème</t>
        </is>
      </c>
      <c r="C30" s="9" t="inlineStr">
        <is>
          <t>Physique-Chimie-Technologie</t>
        </is>
      </c>
      <c r="D30" s="9" t="inlineStr">
        <is>
          <t>Tu veux mesurer le volume d'un bille de fer.
Tu verses 30 mL d'eau dans une éprouvette graduée, puis tu y plonges le bille de fer : le niveau monte à 40 mL.
Quel est le volume du bille de fer ?</t>
        </is>
      </c>
      <c r="E30" s="9" t="inlineStr">
        <is>
          <t>V = 10 mL</t>
        </is>
      </c>
      <c r="F30" s="9" t="inlineStr">
        <is>
          <t>10 mL</t>
        </is>
      </c>
      <c r="G30" s="9" t="inlineStr">
        <is>
          <t>Juste</t>
        </is>
      </c>
      <c r="H30" s="9" t="inlineStr">
        <is>
          <t>C'est juste, continue comme ça !</t>
        </is>
      </c>
      <c r="I30" s="9" t="inlineStr">
        <is>
          <t>C'est la méthode du déplacement d'eau : un solide chasse un volume d'eau égal au sien.
1) VOLUME AVANT
   V₁ = 30 mL (eau seule)
2) VOLUME APRÈS
   V₂ = 40 mL (eau + bille de fer)
3) VOLUME DU BILLE DE FER
   V = V₂ - V₁
   V = 40 - 30
   V = 10 mL
POURQUOI ÇA MARCHE
   Le bille de fer prend la place de l'eau. La montée du niveau
   mesure donc directement la place qu'il occupe.
À RETENIR
   1 mL = 1 cm³. Le bille de fer occupe donc aussi 10 cm³.</t>
        </is>
      </c>
      <c r="J30" s="10" t="n"/>
      <c r="K30" s="10" t="n"/>
      <c r="L30" s="10" t="n"/>
      <c r="M30" s="10" t="n"/>
      <c r="N30" s="10" t="n"/>
      <c r="O30" s="10" t="n"/>
      <c r="P30" s="10" t="n"/>
    </row>
    <row r="31">
      <c r="A31" s="9" t="inlineStr">
        <is>
          <t>C029</t>
        </is>
      </c>
      <c r="B31" s="9" t="inlineStr">
        <is>
          <t>6ème</t>
        </is>
      </c>
      <c r="C31" s="9" t="inlineStr">
        <is>
          <t>Mathématiques</t>
        </is>
      </c>
      <c r="D31" s="9" t="inlineStr">
        <is>
          <t>Au marché, 5 stylos identiques coûtent 1 000 francs.
1) Quel est le prix d'un stylo ?
2) Yacoubou veut en acheter 12. Combien va-t-il payer ?</t>
        </is>
      </c>
      <c r="E31" s="9" t="inlineStr">
        <is>
          <t>Un stylo coûte 200 F et 12 coûtent 2 400 F.</t>
        </is>
      </c>
      <c r="F31" s="9" t="inlineStr">
        <is>
          <t>Un stylo coûte 201 F et 12 coûtent 2 400 F.</t>
        </is>
      </c>
      <c r="G31" s="9" t="inlineStr">
        <is>
          <t>Faux</t>
        </is>
      </c>
      <c r="H31" s="9" t="inlineStr">
        <is>
          <t>Ce n'est pas la bonne réponse, reprenons ensemble.</t>
        </is>
      </c>
      <c r="I31" s="9" t="inlineStr">
        <is>
          <t>Tu as écrit 201 là où il fallait 200. Reprenons la démarche :
Le prix est proportionnel au nombre d'articles.
1) PRIX D'UN SEUL
   On partage le prix total entre les 5 articles :
   Prix d'un = 1 000 ÷ 5
   Prix d'un = 200 F
2) PRIX DE 12
   On multiplie le prix unitaire par 12 :
   Prix = 200 × 12
   Prix = 2 400 F
VÉRIFICATION
   12 est plus grand que 5, donc le prix doit être plus grand que 1 000 F.
   2 400 F est bien supérieur à 1 000 F.
CONCLUSION
   Un stylo coûte 200 F et 12 coûtent 2 400 F.</t>
        </is>
      </c>
      <c r="J31" s="10" t="n"/>
      <c r="K31" s="10" t="n"/>
      <c r="L31" s="10" t="n"/>
      <c r="M31" s="10" t="n"/>
      <c r="N31" s="10" t="n"/>
      <c r="O31" s="10" t="n"/>
      <c r="P31" s="10" t="n"/>
    </row>
    <row r="32">
      <c r="A32" s="9" t="inlineStr">
        <is>
          <t>C030</t>
        </is>
      </c>
      <c r="B32" s="9" t="inlineStr">
        <is>
          <t>Terminale (BAC)</t>
        </is>
      </c>
      <c r="C32" s="9" t="inlineStr">
        <is>
          <t>Philosophie</t>
        </is>
      </c>
      <c r="D32" s="9" t="inlineStr">
        <is>
          <t>Selon Karl Marx, le travail est-il d'abord une aliénation ou une réalisation de l'essence de l'homme ?</t>
        </is>
      </c>
      <c r="E32" s="9" t="inlineStr">
        <is>
          <t>Le travail est d'abord, pour Marx, l'activité par laquelle l'homme réalise son essence en transformant la nature, même s'il devient aliéné dans le système capitaliste.</t>
        </is>
      </c>
      <c r="F32" s="9" t="inlineStr">
        <is>
          <t>Le travail est d'abord, pour Marx, l'activité par laquelle l'homme réalise son essence en transformant la nature, même s'il devient aliéné dans le système capitaliste.</t>
        </is>
      </c>
      <c r="G32" s="9" t="inlineStr">
        <is>
          <t>Juste</t>
        </is>
      </c>
      <c r="H32" s="9" t="inlineStr">
        <is>
          <t>C'est juste, continue comme ça !</t>
        </is>
      </c>
      <c r="I32" s="9" t="inlineStr">
        <is>
          <t>Étape 1 : Définir le travail chez Marx comme l'activité consciente et volontaire par laquelle l'homme impose sa marque sur la nature. Étape 2 : Expliquer que dans le capitalisme, le produit du travail appartient au patron et non au travailleur, ce qui crée l'aliénation. Étape 3 : Conclure que le travail est la condition de liberté et de dignité humaine, mais qu'il doit être libéré des chaînes de l'exploitation.</t>
        </is>
      </c>
      <c r="J32" s="10" t="n"/>
      <c r="K32" s="10" t="n"/>
      <c r="L32" s="10" t="n"/>
      <c r="M32" s="10" t="n"/>
      <c r="N32" s="10" t="n"/>
      <c r="O32" s="10" t="n"/>
      <c r="P32" s="10" t="n"/>
    </row>
    <row r="33">
      <c r="A33" s="9" t="inlineStr">
        <is>
          <t>C031</t>
        </is>
      </c>
      <c r="B33" s="9" t="inlineStr">
        <is>
          <t>Terminale (BAC)</t>
        </is>
      </c>
      <c r="C33" s="9" t="inlineStr">
        <is>
          <t>Français</t>
        </is>
      </c>
      <c r="D33" s="9" t="inlineStr">
        <is>
          <t>Comment qualifie-t-on un personnage de roman qui n'évolue pas au fil des chapitres, restant prisonnier des mêmes tics, des mêmes idées ou du même rôle comique du début à la fin ?</t>
        </is>
      </c>
      <c r="E33" s="9" t="inlineStr">
        <is>
          <t>Un personnage plat (ou type, ou stéréotype).</t>
        </is>
      </c>
      <c r="F33" s="9" t="inlineStr">
        <is>
          <t>Un personnage plat (ou type, ou stéréotype).</t>
        </is>
      </c>
      <c r="G33" s="9" t="inlineStr">
        <is>
          <t>Juste</t>
        </is>
      </c>
      <c r="H33" s="9" t="inlineStr">
        <is>
          <t>C'est juste, continue comme ça !</t>
        </is>
      </c>
      <c r="I33" s="9" t="inlineStr">
        <is>
          <t>Étape 1 : Analyser la définition d'un personnage qui ne change pas. Il n'a pas de profondeur psychologique et ne grandit pas. Étape 2 : Se rappeler les termes techniques du cours de littérature. Étape 3 : Identifier le terme exact qui désigne ce type de personnage, souvent utilisé pour illustrer une idée de manière simpliste.</t>
        </is>
      </c>
      <c r="J33" s="10" t="n"/>
      <c r="K33" s="10" t="n"/>
      <c r="L33" s="10" t="n"/>
      <c r="M33" s="10" t="n"/>
      <c r="N33" s="10" t="n"/>
      <c r="O33" s="10" t="n"/>
      <c r="P33" s="10" t="n"/>
    </row>
    <row r="34">
      <c r="A34" s="9" t="inlineStr">
        <is>
          <t>C032</t>
        </is>
      </c>
      <c r="B34" s="9" t="inlineStr">
        <is>
          <t>4ème</t>
        </is>
      </c>
      <c r="C34" s="9" t="inlineStr">
        <is>
          <t>Mathématiques</t>
        </is>
      </c>
      <c r="D34" s="9" t="inlineStr">
        <is>
          <t>Écris sous la forme d'une seule puissance de 5 :
A = 5^3 × 5^3.</t>
        </is>
      </c>
      <c r="E34" s="9" t="inlineStr">
        <is>
          <t>A = 5^6</t>
        </is>
      </c>
      <c r="F34" s="9" t="inlineStr">
        <is>
          <t>A = 15^6</t>
        </is>
      </c>
      <c r="G34" s="9" t="inlineStr">
        <is>
          <t>Faux</t>
        </is>
      </c>
      <c r="H34" s="9" t="inlineStr">
        <is>
          <t>Ce n'est pas la bonne réponse, reprenons ensemble.</t>
        </is>
      </c>
      <c r="I34" s="9" t="inlineStr">
        <is>
          <t>Tu as écrit 15 là où il fallait 5. Reprenons la démarche :
Pour multiplier deux puissances d'un MÊME nombre, on additionne les exposants.
1) On écrit la règle :
   a^m × a^n = a^(m+n)
2) Ici la base est 5 dans les deux cas :
   A = 5^3 × 5^3 = 5^(3+3)
3) A = 5^6
VÉRIFICATION
   5^3 = 125 et 5^3 = 125
   Leur produit vaut 15 625, et 5^6 = 15 625.
ATTENTION
   Cette règle ne vaut que si les BASES sont identiques.</t>
        </is>
      </c>
      <c r="J34" s="10" t="n"/>
      <c r="K34" s="10" t="n"/>
      <c r="L34" s="10" t="n"/>
      <c r="M34" s="10" t="n"/>
      <c r="N34" s="10" t="n"/>
      <c r="O34" s="10" t="n"/>
      <c r="P34" s="10" t="n"/>
    </row>
    <row r="35">
      <c r="A35" s="9" t="inlineStr">
        <is>
          <t>C033</t>
        </is>
      </c>
      <c r="B35" s="9" t="inlineStr">
        <is>
          <t>3ème (BEPC)</t>
        </is>
      </c>
      <c r="C35" s="9" t="inlineStr">
        <is>
          <t>Physique-Chimie-Technologie</t>
        </is>
      </c>
      <c r="D35" s="9" t="inlineStr">
        <is>
          <t>Deux résistances R₁ = 80 Ω et R₂ = 30 Ω sont montées EN SÉRIE sous une tension de 55 V.
1) Calcule la résistance équivalente.
2) Calcule l'intensité du courant dans le circuit.</t>
        </is>
      </c>
      <c r="E35" s="9" t="inlineStr">
        <is>
          <t>Réq = 110 Ω et I = 0,5 A</t>
        </is>
      </c>
      <c r="F35" s="9" t="inlineStr">
        <is>
          <t>Réq = 120 Ω et I = 0,5 A</t>
        </is>
      </c>
      <c r="G35" s="9" t="inlineStr">
        <is>
          <t>Faux</t>
        </is>
      </c>
      <c r="H35" s="9" t="inlineStr">
        <is>
          <t>Presque bon, mon grand ! Tu as réussi pour l'intensité, mais attention à ton addition pour la résistance équivalente.</t>
        </is>
      </c>
      <c r="I35" s="9" t="inlineStr">
        <is>
          <t>Pour trouver la résistance équivalente dans un montage en série, on additionne les deux résistances : Réq = R₁ + R₂. Si tu fais 80 + 30, cela donne 110 ohms et non 120 ohms. Ensuite, pour l'intensité, tu as très bien appliqué la loi d'Ohm I = U ÷ Réq, soit 55 ÷ 110 = 0,5 ampère. C'est du très bon travail, corrige juste ton addition et tu auras tout bon au BEPC !</t>
        </is>
      </c>
      <c r="J35" s="10" t="n"/>
      <c r="K35" s="10" t="n"/>
      <c r="L35" s="10" t="n"/>
      <c r="M35" s="10" t="n"/>
      <c r="N35" s="10" t="n"/>
      <c r="O35" s="10" t="n"/>
      <c r="P35" s="10" t="n"/>
    </row>
    <row r="36">
      <c r="A36" s="9" t="inlineStr">
        <is>
          <t>C034</t>
        </is>
      </c>
      <c r="B36" s="9" t="inlineStr">
        <is>
          <t>Terminale (BAC)</t>
        </is>
      </c>
      <c r="C36" s="9" t="inlineStr">
        <is>
          <t>Anglais</t>
        </is>
      </c>
      <c r="D36" s="9" t="inlineStr">
        <is>
          <t>Select the correct idiomatic expression to complete the sentence: After working hard all day at Dantokka market, Adjoa was completely _____.</t>
        </is>
      </c>
      <c r="E36" s="9" t="inlineStr">
        <is>
          <t>worn out</t>
        </is>
      </c>
      <c r="F36" s="9" t="inlineStr">
        <is>
          <t>worn out</t>
        </is>
      </c>
      <c r="G36" s="9" t="inlineStr">
        <is>
          <t>Juste</t>
        </is>
      </c>
      <c r="H36" s="9" t="inlineStr">
        <is>
          <t>Très bien, c'est la bonne réponse.</t>
        </is>
      </c>
      <c r="I36" s="9" t="inlineStr">
        <is>
          <t>1. Analyser le contexte : Adjoa a travaillé toute la journée au marché de Dantokka, ce qui implique une grande fatigue physique. 2. Examiner les options possibles (par exemple : full of energy, worn out, full of joy). 3. Choisir l'expression idiomatique qui décrit l'épuisement physique : 'worn out' (épuisé). 4. Vérifier la concordance grammaticale avec le sujet 'Adjoa' (singulier).</t>
        </is>
      </c>
      <c r="J36" s="10" t="n"/>
      <c r="K36" s="10" t="n"/>
      <c r="L36" s="10" t="n"/>
      <c r="M36" s="10" t="n"/>
      <c r="N36" s="10" t="n"/>
      <c r="O36" s="10" t="n"/>
      <c r="P36" s="10" t="n"/>
    </row>
    <row r="37">
      <c r="A37" s="9" t="inlineStr">
        <is>
          <t>C035</t>
        </is>
      </c>
      <c r="B37" s="9" t="inlineStr">
        <is>
          <t>Terminale (BAC)</t>
        </is>
      </c>
      <c r="C37" s="9" t="inlineStr">
        <is>
          <t>Histoire-Géographie</t>
        </is>
      </c>
      <c r="D37" s="9" t="inlineStr">
        <is>
          <t>Expliquez brièvement comment le Bénin est passé de l'appellation de République du Dahomey à celle de République du Bénin entre 1960 et 1990.</t>
        </is>
      </c>
      <c r="E37" s="9" t="inlineStr">
        <is>
          <t>Le pays s'est d'abord appelé Dahomey à l'indépendance en 1960. En décembre 1975, sous la révolution, il est rebaptisé République Populaire du Bénin. Enfin, en 1990, lors du renouveau démocratique, le nom devient simplement République du Bénin.</t>
        </is>
      </c>
      <c r="F37" s="9" t="inlineStr">
        <is>
          <t>La recherche d'opportunités d'emploi salarié et l'accès aux services sociaux de base (éducation supérieure, santé de pointe, loisirs).</t>
        </is>
      </c>
      <c r="G37" s="9" t="inlineStr">
        <is>
          <t>Faux</t>
        </is>
      </c>
      <c r="H37" s="9" t="inlineStr">
        <is>
          <t>Attention, ta réponse ne répond pas à cet exercice.</t>
        </is>
      </c>
      <c r="I37" s="9" t="inlineStr">
        <is>
          <t>Ta réponse ne traite pas la question de cet exercice. Voici la démarche attendue :
1. Identifiez la date de l'indépendance en 1960 et l'appellation initiale de République du Dahomey. 2. Rappelez la période révolutionnaire de 1975-1990 marquée par la chute du régime militaire et l'adoption du nom de République Populaire du Bénin. 3. Précisez la transition démocratique de 1990 qui a rétabli le nom historique de Bénin.</t>
        </is>
      </c>
      <c r="J37" s="10" t="n"/>
      <c r="K37" s="10" t="n"/>
      <c r="L37" s="10" t="n"/>
      <c r="M37" s="10" t="n"/>
      <c r="N37" s="10" t="n"/>
      <c r="O37" s="10" t="n"/>
      <c r="P37" s="10" t="n"/>
    </row>
    <row r="38">
      <c r="A38" s="9" t="inlineStr">
        <is>
          <t>C036</t>
        </is>
      </c>
      <c r="B38" s="9" t="inlineStr">
        <is>
          <t>3ème (BEPC)</t>
        </is>
      </c>
      <c r="C38" s="9" t="inlineStr">
        <is>
          <t>Allemand</t>
        </is>
      </c>
      <c r="D38" s="9" t="inlineStr">
        <is>
          <t>Complète avec le pronom personnel sujet manquant : Ahouefa kommt aus Cotonou. (Sie / Er) spricht gut Deutsch.</t>
        </is>
      </c>
      <c r="E38" s="9" t="inlineStr">
        <is>
          <t>Sie</t>
        </is>
      </c>
      <c r="F38" s="9" t="inlineStr">
        <is>
          <t>ich hatte, du hattest, er/sie/es hatte</t>
        </is>
      </c>
      <c r="G38" s="9" t="inlineStr">
        <is>
          <t>Faux</t>
        </is>
      </c>
      <c r="H38" s="9" t="inlineStr">
        <is>
          <t>Attention, ta réponse ne répond pas à cet exercice.</t>
        </is>
      </c>
      <c r="I38" s="9" t="inlineStr">
        <is>
          <t>Ta réponse ne traite pas la question de cet exercice. Voici la démarche attendue :
1. Repère le nom propre dans la première phrase : 'Ahouefa'. 2. Détermine le genre de ce nom propre : 'Ahouefa' est un nom féminin. 3. Choisis le pronom personnel sujet féminin correspondant en allemand : 'sie' (elle). 4. Vérifie que le verbe 'spricht' est conjugué à la troisième personne du singulier, ce qui correspond à 'sie'.</t>
        </is>
      </c>
      <c r="J38" s="10" t="n"/>
      <c r="K38" s="10" t="n"/>
      <c r="L38" s="10" t="n"/>
      <c r="M38" s="10" t="n"/>
      <c r="N38" s="10" t="n"/>
      <c r="O38" s="10" t="n"/>
      <c r="P38" s="10" t="n"/>
    </row>
    <row r="39">
      <c r="A39" s="9" t="inlineStr">
        <is>
          <t>C037</t>
        </is>
      </c>
      <c r="B39" s="9" t="inlineStr">
        <is>
          <t>3ème (BEPC)</t>
        </is>
      </c>
      <c r="C39" s="9" t="inlineStr">
        <is>
          <t>Physique-Chimie-Technologie</t>
        </is>
      </c>
      <c r="D39" s="9" t="inlineStr">
        <is>
          <t>Un sac de riz a une masse de 30 kg.
On prend g = 10 N/kg.
1) Calcule son poids sur Terre.
2) Ce sac est emporté sur la Lune, où g = 1,6 N/kg. Que deviennent sa masse et son poids ?</t>
        </is>
      </c>
      <c r="E39" s="9" t="inlineStr">
        <is>
          <t>Sur Terre P = 300 N. Sur la Lune, la masse reste 30 kg mais le poids devient 48 N.</t>
        </is>
      </c>
      <c r="F39" s="9" t="inlineStr">
        <is>
          <t>Sur Terre P = 301 N. Sur la Lune, la masse reste 30 kg mais le poids devient 48 N.</t>
        </is>
      </c>
      <c r="G39" s="9" t="inlineStr">
        <is>
          <t>Faux</t>
        </is>
      </c>
      <c r="H39" s="9" t="inlineStr">
        <is>
          <t>Ce n'est pas la bonne réponse, reprenons ensemble.</t>
        </is>
      </c>
      <c r="I39" s="9" t="inlineStr">
        <is>
          <t>Tu as écrit 301 là où il fallait 300. Reprenons la démarche :
1) LE POIDS SUR TERRE
   P = m × g
   P = 30 × 10
   P = 300 N
2) SUR LA LUNE
   • LA MASSE ne change pas : elle mesure la quantité de matière.
     Le riz est le même, donc m = 30 kg partout.
   • LE POIDS change : il mesure l'attraction de l'astre.
     P = 30 × 1,6 = 48 N
À RETENIR — NE PAS CONFONDRE
   La MASSE se mesure en kilogrammes, avec une balance. Elle est invariable.
   Le POIDS se mesure en newtons, avec un dynamomètre. Il dépend du lieu.</t>
        </is>
      </c>
      <c r="J39" s="10" t="n"/>
      <c r="K39" s="10" t="n"/>
      <c r="L39" s="10" t="n"/>
      <c r="M39" s="10" t="n"/>
      <c r="N39" s="10" t="n"/>
      <c r="O39" s="10" t="n"/>
      <c r="P39" s="10" t="n"/>
    </row>
    <row r="40">
      <c r="A40" s="9" t="inlineStr">
        <is>
          <t>C038</t>
        </is>
      </c>
      <c r="B40" s="9" t="inlineStr">
        <is>
          <t>5ème</t>
        </is>
      </c>
      <c r="C40" s="9" t="inlineStr">
        <is>
          <t>Mathématiques</t>
        </is>
      </c>
      <c r="D40" s="9" t="inlineStr">
        <is>
          <t>Un commerçant accorde une remise de 15 % sur un pagne affiché à 6 000 francs.
1) Calcule le montant de la remise.
2) Calcule le prix payé par le client.</t>
        </is>
      </c>
      <c r="E40" s="9" t="inlineStr">
        <is>
          <t>Remise = 900 F et prix payé = 5 100 F</t>
        </is>
      </c>
      <c r="F40" s="9" t="inlineStr">
        <is>
          <t>Remise = 900 F et prix payé = 5 100 F</t>
        </is>
      </c>
      <c r="G40" s="9" t="inlineStr">
        <is>
          <t>Juste</t>
        </is>
      </c>
      <c r="H40" s="9" t="inlineStr">
        <is>
          <t>Très bien, c'est la bonne réponse.</t>
        </is>
      </c>
      <c r="I40" s="9" t="inlineStr">
        <is>
          <t>1) MONTANT DE LA REMISE
   Prendre 15 % d'un nombre, c'est le multiplier par 15/100.
   Remise = 6 000 × 15/100
   Remise = 900 F
2) PRIX PAYÉ
   On retire la remise du prix affiché :
   Prix = 6 000 - 900
   Prix = 5 100 F
MÉTHODE PLUS RAPIDE
   Le client paie 100 % - 15 % = 85 % du prix.
   Prix = 6 000 × 85/100 = 5 100 F
   On retrouve bien le même résultat.</t>
        </is>
      </c>
      <c r="J40" s="10" t="n"/>
      <c r="K40" s="10" t="n"/>
      <c r="L40" s="10" t="n"/>
      <c r="M40" s="10" t="n"/>
      <c r="N40" s="10" t="n"/>
      <c r="O40" s="10" t="n"/>
      <c r="P40" s="10" t="n"/>
    </row>
    <row r="41">
      <c r="A41" s="9" t="inlineStr">
        <is>
          <t>C039</t>
        </is>
      </c>
      <c r="B41" s="9" t="inlineStr">
        <is>
          <t>Terminale (BAC)</t>
        </is>
      </c>
      <c r="C41" s="9" t="inlineStr">
        <is>
          <t>Français</t>
        </is>
      </c>
      <c r="D41" s="9" t="inlineStr">
        <is>
          <t>Dans un texte argumentatif sur l'exode rural à Cotonou, un auteur écrit : « Les jeunes quittent leurs villages pour la ville, espérant trouver l'eldorado. Malheureusement, ils se heurtent à la dure réalité du chômage urbain et finissent par grossir les rangs des sans-emplois dans les marchés comme Dantokpa. » Reformule cette idée en une seule phrase simple, sans changer le sens.</t>
        </is>
      </c>
      <c r="E41" s="9" t="inlineStr">
        <is>
          <t>L'illusion d'un avenir meilleur pousse les jeunes villageois vers Cotonou, où ils subissent le chômage de masse.</t>
        </is>
      </c>
      <c r="F41" s="9" t="inlineStr">
        <is>
          <t>L'illusion d'un avenir meilleur pousse les jeunes villageois vers Cotonou, où ils subissent le chômage de masse.</t>
        </is>
      </c>
      <c r="G41" s="9" t="inlineStr">
        <is>
          <t>Juste</t>
        </is>
      </c>
      <c r="H41" s="9" t="inlineStr">
        <is>
          <t>C'est juste, continue comme ça !</t>
        </is>
      </c>
      <c r="I41" s="9" t="inlineStr">
        <is>
          <t>1. Repère les trois idées clés du texte : l'exode rural motivé par l'espoir, l'arrivée à Cotonou et la réalité du chômage. 2. Remplace les expressions complexes par des termes simples : « l'eldorado » devient « un avenir meilleur », « se heurtent à la dure réalité » devient « subissent la réalité ». 3. Assemble les éléments en une seule phrase fluide et concise.</t>
        </is>
      </c>
      <c r="J41" s="10" t="n"/>
      <c r="K41" s="10" t="n"/>
      <c r="L41" s="10" t="n"/>
      <c r="M41" s="10" t="n"/>
      <c r="N41" s="10" t="n"/>
      <c r="O41" s="10" t="n"/>
      <c r="P41" s="10" t="n"/>
    </row>
    <row r="42">
      <c r="A42" s="9" t="inlineStr">
        <is>
          <t>C040</t>
        </is>
      </c>
      <c r="B42" s="9" t="inlineStr">
        <is>
          <t>Terminale (BAC)</t>
        </is>
      </c>
      <c r="C42" s="9" t="inlineStr">
        <is>
          <t>Physique-Chimie-Technologie</t>
        </is>
      </c>
      <c r="D42" s="9" t="inlineStr">
        <is>
          <t>Un(e) voiture de masse m = 2 500 kg roule à la vitesse v = 20 m/s.
1) Calcule son énergie cinétique.
2) Que devient cette énergie si la vitesse double ?</t>
        </is>
      </c>
      <c r="E42" s="9" t="inlineStr">
        <is>
          <t>Ec = 500 000 J ; à vitesse double, elle est multipliée par 4, soit 2 000 000 J.</t>
        </is>
      </c>
      <c r="F42" s="9" t="inlineStr">
        <is>
          <t>Ec = 500 000 J ; à vitesse double, elle est multipliée par 4, soit 2 000 000 J.</t>
        </is>
      </c>
      <c r="G42" s="9" t="inlineStr">
        <is>
          <t>Juste</t>
        </is>
      </c>
      <c r="H42" s="9" t="inlineStr">
        <is>
          <t>Très bien, c'est la bonne réponse.</t>
        </is>
      </c>
      <c r="I42" s="9" t="inlineStr">
        <is>
          <t>1) ÉNERGIE CINÉTIQUE
   Ec = ½ × m × v²
   Ec = 0,5 × 2 500 × 20²
   Ec = 0,5 × 2 500 × 400
   Ec = 500 000 J
2) SI LA VITESSE DOUBLE
   La vitesse intervient au CARRÉ.
   Doubler v revient à multiplier v² par 2² = 4.
   Ec devient 500 000 × 4 = 2 000 000 J
CONSÉQUENCE CONCRÈTE
   C'est pourquoi la distance d'arrêt d'un véhicule est multipliée par quatre
   quand sa vitesse double : il y a quatre fois plus d'énergie à dissiper.</t>
        </is>
      </c>
      <c r="J42" s="10" t="n"/>
      <c r="K42" s="10" t="n"/>
      <c r="L42" s="10" t="n"/>
      <c r="M42" s="10" t="n"/>
      <c r="N42" s="10" t="n"/>
      <c r="O42" s="10" t="n"/>
      <c r="P42" s="10" t="n"/>
    </row>
    <row r="43">
      <c r="A43" s="9" t="inlineStr">
        <is>
          <t>C041</t>
        </is>
      </c>
      <c r="B43" s="9" t="inlineStr">
        <is>
          <t>4ème</t>
        </is>
      </c>
      <c r="C43" s="9" t="inlineStr">
        <is>
          <t>Physique-Chimie-Technologie</t>
        </is>
      </c>
      <c r="D43" s="9" t="inlineStr">
        <is>
          <t>La formule de la molécule de méthane est CH₄.
1) Quels atomes la composent, et combien de chaque sorte ?
2) Combien d'atomes compte-t-on en tout dans 1 molécule(s) de méthane ?</t>
        </is>
      </c>
      <c r="E43" s="9" t="inlineStr">
        <is>
          <t>1 atome(s) de carbone, 4 atome(s) de hydrogène ; soit 5 atomes dans 1 molécule(s).</t>
        </is>
      </c>
      <c r="F43" s="9" t="inlineStr">
        <is>
          <t>2 atome(s) de carbone, 4 atome(s) de hydrogène ; soit 5 atomes dans 1 molécule(s).</t>
        </is>
      </c>
      <c r="G43" s="9" t="inlineStr">
        <is>
          <t>Faux</t>
        </is>
      </c>
      <c r="H43" s="9" t="inlineStr">
        <is>
          <t>C'est presque ça, mon grand ! Tu as fait une petite erreur sur le nombre d'atomes de carbone. Courage, regarde bien la formule !</t>
        </is>
      </c>
      <c r="I43" s="9" t="inlineStr">
        <is>
          <t>Pour trouver les atomes qui composent la molécule de méthane CH₄, regardons la formule chimique. La lettre C représente l'atome de carbone et le chiffre 4 en indice après le H indique qu'il y a 4 atomes d'hydrogène. Lorsqu'il n'y a aucun chiffre écrit après le C, cela signifie qu'il y a 1 seul atome de carbone. Il y a donc 1 atome de carbone et 4 atomes d'hydrogène. En tout, cela fait 1 + 4 = 5 atomes dans une molécule de méthane.</t>
        </is>
      </c>
      <c r="J43" s="10" t="n"/>
      <c r="K43" s="10" t="n"/>
      <c r="L43" s="10" t="n"/>
      <c r="M43" s="10" t="n"/>
      <c r="N43" s="10" t="n"/>
      <c r="O43" s="10" t="n"/>
      <c r="P43" s="10" t="n"/>
    </row>
    <row r="44">
      <c r="A44" s="9" t="inlineStr">
        <is>
          <t>C042</t>
        </is>
      </c>
      <c r="B44" s="9" t="inlineStr">
        <is>
          <t>4ème</t>
        </is>
      </c>
      <c r="C44" s="9" t="inlineStr">
        <is>
          <t>Sciences de la Vie et de la Terre</t>
        </is>
      </c>
      <c r="D44" s="9" t="inlineStr">
        <is>
          <t>Dans une mare de la région de l'Atacora, on observe la ponte de milliers de petits œufs gélatineux par des crapauds. Après éclosion, il en sort des têtards munis d'une queue et de branchies, qui subissent de nombreuses transformations avant de devenir des adultes terrestres. 1) Quel nom donne-t-on à l'ensemble de ces transformations ? 2) Précise le type de développement chez cet animal.</t>
        </is>
      </c>
      <c r="E44" s="9" t="inlineStr">
        <is>
          <t>1) La métamorphose. 2) Un développement indirect.</t>
        </is>
      </c>
      <c r="F44" s="9" t="inlineStr">
        <is>
          <t>1) La métamorphose. 2) Un développement indirect.</t>
        </is>
      </c>
      <c r="G44" s="9" t="inlineStr">
        <is>
          <t>Juste</t>
        </is>
      </c>
      <c r="H44" s="9" t="inlineStr">
        <is>
          <t>C'est juste, continue comme ça !</t>
        </is>
      </c>
      <c r="I44" s="9" t="inlineStr">
        <is>
          <t>1. Analyse le passage : les têtards changent radicalement leur forme pour devenir des crapauds adultes. 2. Nomme ce phénomène : il s'agit d'une métamorphose. 3. Relie ce phénomène au type de développement : car il y a une phase larvaire différente de l'adulte, il s'agit d'un développement indirect.</t>
        </is>
      </c>
      <c r="J44" s="10" t="n"/>
      <c r="K44" s="10" t="n"/>
      <c r="L44" s="10" t="n"/>
      <c r="M44" s="10" t="n"/>
      <c r="N44" s="10" t="n"/>
      <c r="O44" s="10" t="n"/>
      <c r="P44" s="10" t="n"/>
    </row>
    <row r="45">
      <c r="A45" s="9" t="inlineStr">
        <is>
          <t>C043</t>
        </is>
      </c>
      <c r="B45" s="9" t="inlineStr">
        <is>
          <t>6ème</t>
        </is>
      </c>
      <c r="C45" s="9" t="inlineStr">
        <is>
          <t>Sciences de la Vie et de la Terre</t>
        </is>
      </c>
      <c r="D45" s="9" t="inlineStr">
        <is>
          <t>On place une jeune plante de niébé dans un carton percé d'un seul petit trou sur le côté, exposé à la lumière du soleil dans une cour à Parakou. Après quelques jours, on constate que la tige de la plante se penche vers le trou. Quel besoin fondamental de la plante met-on en évidence à travers cette expérience ?</t>
        </is>
      </c>
      <c r="E45" s="9" t="inlineStr">
        <is>
          <t>Le besoin de lumière</t>
        </is>
      </c>
      <c r="F45" s="9" t="inlineStr">
        <is>
          <t>Le besoin de lumière</t>
        </is>
      </c>
      <c r="G45" s="9" t="inlineStr">
        <is>
          <t>Juste</t>
        </is>
      </c>
      <c r="H45" s="9" t="inlineStr">
        <is>
          <t>C'est juste, continue comme ça !</t>
        </is>
      </c>
      <c r="I45" s="9" t="inlineStr">
        <is>
          <t>1. Analysons le comportement de la plante : la tige se penche vers la source de lumière (le trou). 2. Comprisons la raison : la plante cherche à capter le maximum de rayons solaires pour réaliser sa photosynthèse. 3. Déduisons la conclusion : ce mouvement montre que la plante a un besoin vital de lumière.</t>
        </is>
      </c>
      <c r="J45" s="10" t="n"/>
      <c r="K45" s="10" t="n"/>
      <c r="L45" s="10" t="n"/>
      <c r="M45" s="10" t="n"/>
      <c r="N45" s="10" t="n"/>
      <c r="O45" s="10" t="n"/>
      <c r="P45" s="10" t="n"/>
    </row>
    <row r="46">
      <c r="A46" s="9" t="inlineStr">
        <is>
          <t>C044</t>
        </is>
      </c>
      <c r="B46" s="9" t="inlineStr">
        <is>
          <t>5ème</t>
        </is>
      </c>
      <c r="C46" s="9" t="inlineStr">
        <is>
          <t>Mathématiques</t>
        </is>
      </c>
      <c r="D46" s="9" t="inlineStr">
        <is>
          <t>Calcule : (-10) + (+8).</t>
        </is>
      </c>
      <c r="E46" s="9" t="inlineStr">
        <is>
          <t>-2</t>
        </is>
      </c>
      <c r="F46" s="9" t="inlineStr">
        <is>
          <t>-4</t>
        </is>
      </c>
      <c r="G46" s="9" t="inlineStr">
        <is>
          <t>Faux</t>
        </is>
      </c>
      <c r="H46" s="9" t="inlineStr">
        <is>
          <t>Ce n'est pas la bonne réponse, reprenons ensemble.</t>
        </is>
      </c>
      <c r="I46" s="9" t="inlineStr">
        <is>
          <t>Tu as écrit -4 là où il fallait -2. Reprenons la démarche :
On additionne deux nombres relatifs de signes contraires.
1) On compare les distances à zéro :
   celle de -10 vaut 10, celle de +8 vaut 8.
2) 10 est plus grand que 8 : le résultat prend le signe MOINS.
3) On soustrait la plus petite distance de la plus grande :
   10 - 8 = 2
4) Résultat : -2
POUR SE REPRÉSENTER
   Pars de -10 sur la droite graduée et avance de 8 pas vers la droite.
   Tu arrives à -2.</t>
        </is>
      </c>
      <c r="J46" s="10" t="n"/>
      <c r="K46" s="10" t="n"/>
      <c r="L46" s="10" t="n"/>
      <c r="M46" s="10" t="n"/>
      <c r="N46" s="10" t="n"/>
      <c r="O46" s="10" t="n"/>
      <c r="P46" s="10" t="n"/>
    </row>
    <row r="47">
      <c r="A47" s="9" t="inlineStr">
        <is>
          <t>C045</t>
        </is>
      </c>
      <c r="B47" s="9" t="inlineStr">
        <is>
          <t>4ème</t>
        </is>
      </c>
      <c r="C47" s="9" t="inlineStr">
        <is>
          <t>Sciences de la Vie et de la Terre</t>
        </is>
      </c>
      <c r="D47" s="9" t="inlineStr">
        <is>
          <t>Dans une zone protégée du parc national de la Pendjari, l'introduction accidentelle d'une espèce végétale exotique envahissante supplante la flore locale dont se nourrissent les herbivores. Explique en trois étapes logiques les répercussions de cette perturbation sur l'ensemble de la pyramide trophique de cet écosystème.</t>
        </is>
      </c>
      <c r="E47" s="9" t="inlineStr">
        <is>
          <t>1. Disparition de la flore locale. 2. Baisse des herbivores faute de nourriture adaptée. 3. Réduction des grands carnivores par manque de proies.</t>
        </is>
      </c>
      <c r="F47" s="9" t="inlineStr">
        <is>
          <t>L'effort physique intense augmente les besoins des muscles en dioxygène et nutriments, ce qui oblige le cœur à battre plus vite pour accélérer la circulation sanguine.</t>
        </is>
      </c>
      <c r="G47" s="9" t="inlineStr">
        <is>
          <t>Faux</t>
        </is>
      </c>
      <c r="H47" s="9" t="inlineStr">
        <is>
          <t>Attention, ta réponse ne répond pas à cet exercice.</t>
        </is>
      </c>
      <c r="I47" s="9" t="inlineStr">
        <is>
          <t>Ta réponse ne traite pas la question de cet exercice. Voici la démarche attendue :
Étape 1 : Analyser l'impact direct sur le premier niveau trophique (les producteurs). L'espèce exotique envahissante supprime les plantes locales, ce qui réduit drastiquement la quantité de matière organique disponible pour les herbivores.
Étape 2 : Analyser l'impact sur le deuxième niveau trophique (les consommateurs primaires). Les herbivores (comme les zèbres ou les antilopes) manquent de leur source alimentaire habituelle, ce qui entraîne une baisse de leur population par famine ou migration.
Étape 3 : Analyser l'impact sur le troisième niveau trophique (les consommateurs secondaires ou carnivores). Les prédateurs (comme les lions ou les hyènes) voient leur nombre de proies diminuer, ce qui provoque une chute de leur population par manque de nourriture.</t>
        </is>
      </c>
      <c r="J47" s="10" t="n"/>
      <c r="K47" s="10" t="n"/>
      <c r="L47" s="10" t="n"/>
      <c r="M47" s="10" t="n"/>
      <c r="N47" s="10" t="n"/>
      <c r="O47" s="10" t="n"/>
      <c r="P47" s="10" t="n"/>
    </row>
    <row r="48">
      <c r="A48" s="9" t="inlineStr">
        <is>
          <t>C046</t>
        </is>
      </c>
      <c r="B48" s="9" t="inlineStr">
        <is>
          <t>Terminale (BAC)</t>
        </is>
      </c>
      <c r="C48" s="9" t="inlineStr">
        <is>
          <t>Philosophie</t>
        </is>
      </c>
      <c r="D48" s="9" t="inlineStr">
        <is>
          <t>Comment la méthode expérimentale en science complète-t-elle la simple spéculation rationnelle ?</t>
        </is>
      </c>
      <c r="E48" s="9" t="inlineStr">
        <is>
          <t>En confrontant l'idée de l'esprit aux faits observés dans la nature par le biais de l'expérience contrôlée.</t>
        </is>
      </c>
      <c r="F48" s="9" t="inlineStr">
        <is>
          <t>Non, car s'il subit des contraintes matérielles (déterminisme économique et climatique), il conserve sa liberté intérieure de choisir sa réaction et sa stratégie d'adaptation face à ces épreuves.</t>
        </is>
      </c>
      <c r="G48" s="9" t="inlineStr">
        <is>
          <t>Faux</t>
        </is>
      </c>
      <c r="H48" s="9" t="inlineStr">
        <is>
          <t>Attention mon grand, tu as confondu le sujet sur la science avec un autre sujet sur la liberté et le déterminisme !</t>
        </is>
      </c>
      <c r="I48" s="9" t="inlineStr">
        <is>
          <t>Pour réussir cet exercice, il faut d'abord bien lire le sujet qui parle de la méthode expérimentale en science et de la spéculation rationnelle. Ensuite, il faut définir les mots clés : la spéculation rationnelle c'est la réflexion de l'esprit, et la méthode expérimentale c'est le fait de tester cette idée dans la réalité par l'expérience, comme le fait un chercheur au laboratoire. Enfin, la solution attendue montre que l'expérience vient corriger et enrichir la simple pensée en la confrontant aux faits de la nature. Reprends courage, relis bien ton cours sur l'épistémologie et tu y arriveras la prochaine fois !</t>
        </is>
      </c>
      <c r="J48" s="10" t="n"/>
      <c r="K48" s="10" t="n"/>
      <c r="L48" s="10" t="n"/>
      <c r="M48" s="10" t="n"/>
      <c r="N48" s="10" t="n"/>
      <c r="O48" s="10" t="n"/>
      <c r="P48" s="10" t="n"/>
    </row>
    <row r="49">
      <c r="A49" s="9" t="inlineStr">
        <is>
          <t>C047</t>
        </is>
      </c>
      <c r="B49" s="9" t="inlineStr">
        <is>
          <t>5ème</t>
        </is>
      </c>
      <c r="C49" s="9" t="inlineStr">
        <is>
          <t>Physique-Chimie-Technologie</t>
        </is>
      </c>
      <c r="D49" s="9" t="inlineStr">
        <is>
          <t>Un bloc de aluminium a une masse de 270 g et un volume de 100 cm³.
Calcule sa masse volumique.</t>
        </is>
      </c>
      <c r="E49" s="9" t="inlineStr">
        <is>
          <t>ρ = 2,7 g/cm³</t>
        </is>
      </c>
      <c r="F49" s="9" t="inlineStr">
        <is>
          <t>ρ = 2,7 g/cm³</t>
        </is>
      </c>
      <c r="G49" s="9" t="inlineStr">
        <is>
          <t>Juste</t>
        </is>
      </c>
      <c r="H49" s="9" t="inlineStr">
        <is>
          <t>C'est juste, continue comme ça !</t>
        </is>
      </c>
      <c r="I49" s="9" t="inlineStr">
        <is>
          <t>La masse volumique est la masse d'un centimètre cube de matière.
1) ON ÉCRIT LA FORMULE
   ρ = m ÷ V
2) ON REPÈRE LES DONNÉES
   m = 270 g
   V = 100 cm³
3) ON APPLIQUE
   ρ = 270 ÷ 100
   ρ = 2,7 g/cm³
CE QUE CELA SIGNIFIE
   Chaque centimètre cube de ce aluminium pèse 2,7 gramme(s).
COMPARAISON AVEC L'EAU
   L'eau a une masse volumique de 1 g/cm³.
   Ce aluminium est 2,7 fois plus lourd que l'eau : il coule.</t>
        </is>
      </c>
      <c r="J49" s="10" t="n"/>
      <c r="K49" s="10" t="n"/>
      <c r="L49" s="10" t="n"/>
      <c r="M49" s="10" t="n"/>
      <c r="N49" s="10" t="n"/>
      <c r="O49" s="10" t="n"/>
      <c r="P49" s="10" t="n"/>
    </row>
    <row r="50">
      <c r="A50" s="9" t="inlineStr">
        <is>
          <t>C048</t>
        </is>
      </c>
      <c r="B50" s="9" t="inlineStr">
        <is>
          <t>3ème (BEPC)</t>
        </is>
      </c>
      <c r="C50" s="9" t="inlineStr">
        <is>
          <t>Anglais</t>
        </is>
      </c>
      <c r="D50" s="9" t="inlineStr">
        <is>
          <t>Convert this complex statement into reported speech: 'We will write our English exam tomorrow,' the student declared.</t>
        </is>
      </c>
      <c r="E50" s="9" t="inlineStr">
        <is>
          <t>The student declared that they would write their English exam the next day.</t>
        </is>
      </c>
      <c r="F50" s="9" t="inlineStr">
        <is>
          <t>The student declared that they would write their English exam the next day.</t>
        </is>
      </c>
      <c r="G50" s="9" t="inlineStr">
        <is>
          <t>Juste</t>
        </is>
      </c>
      <c r="H50" s="9" t="inlineStr">
        <is>
          <t>Très bien, c'est la bonne réponse.</t>
        </is>
      </c>
      <c r="I50" s="9" t="inlineStr">
        <is>
          <t>1. Repère le verbe introducteur au prétérit : 'declared'.
2. Applique le recul des temps (backshift) : 'will' devient 'would', 'write' devient 'would write'.
3. Gère le pronom personnel : 'We' devient 'they' (car le locuteur parle de lui-même au pluriel ou au singulier).
4. Ajuste l'indicateur de temps : 'tomorrow' devient 'the next day' ou 'the following day'.</t>
        </is>
      </c>
      <c r="J50" s="10" t="n"/>
      <c r="K50" s="10" t="n"/>
      <c r="L50" s="10" t="n"/>
      <c r="M50" s="10" t="n"/>
      <c r="N50" s="10" t="n"/>
      <c r="O50" s="10" t="n"/>
      <c r="P50" s="10" t="n"/>
    </row>
    <row r="51">
      <c r="A51" s="9" t="inlineStr">
        <is>
          <t>C049</t>
        </is>
      </c>
      <c r="B51" s="9" t="inlineStr">
        <is>
          <t>5ème</t>
        </is>
      </c>
      <c r="C51" s="9" t="inlineStr">
        <is>
          <t>Sciences de la Vie et de la Terre</t>
        </is>
      </c>
      <c r="D51" s="9" t="inlineStr">
        <is>
          <t>Explique pourquoi un sol nu, sans végétation, est plus vulnérable au soleil et à la pluie qu'un sol couvert de plantes.</t>
        </is>
      </c>
      <c r="E51" s="9" t="inlineStr">
        <is>
          <t>Le sol nu subit directement l'impact des gouttes de pluie qui détruisent sa structure et la chaleur du soleil qui détruit l'humus, contrairement au sol protégé par les racines et les feuilles.</t>
        </is>
      </c>
      <c r="F51" s="9" t="inlineStr">
        <is>
          <t>Les micro-organismes consomment le dioxygène de l'eau pour décomposer la matière organique, ce qui prive les poissons de dioxygène et provoque leur asphyxie.</t>
        </is>
      </c>
      <c r="G51" s="9" t="inlineStr">
        <is>
          <t>Faux</t>
        </is>
      </c>
      <c r="H51" s="9" t="inlineStr">
        <is>
          <t>Attention, ta réponse ne répond pas à cet exercice.</t>
        </is>
      </c>
      <c r="I51" s="9" t="inlineStr">
        <is>
          <t>Ta réponse ne traite pas la question de cet exercice. Voici la démarche attendue :
1. Analyser l'action de la pluie sur un sol nu : les gouttes frappent directement les particules de terre, ce qui provoque l'érosion et l'émiettement du sol. 2. Analyser l'action du soleil sur un sol nu : la chaleur s'accumule directement, ce qui provoque la dégradation de l'humus et la perte d'eau par évaporation rapide. 3. Analyser le rôle de la végétation : les racines retiennent les particules de terre, les feuilles atténuent l'impact des gouttes et la canopée protège le sol de la chaleur excessive. 4. Conclure que la végétation joue un rôle protecteur essentiel pour la stabilité du sol.</t>
        </is>
      </c>
      <c r="J51" s="10" t="n"/>
      <c r="K51" s="10" t="n"/>
      <c r="L51" s="10" t="n"/>
      <c r="M51" s="10" t="n"/>
      <c r="N51" s="10" t="n"/>
      <c r="O51" s="10" t="n"/>
      <c r="P51" s="10" t="n"/>
    </row>
    <row r="52">
      <c r="A52" s="9" t="inlineStr">
        <is>
          <t>C050</t>
        </is>
      </c>
      <c r="B52" s="9" t="inlineStr">
        <is>
          <t>4ème</t>
        </is>
      </c>
      <c r="C52" s="9" t="inlineStr">
        <is>
          <t>Mathématiques</t>
        </is>
      </c>
      <c r="D52" s="9" t="inlineStr">
        <is>
          <t>Développe puis réduis : B = 5(x + 7) - 3(x - 1).</t>
        </is>
      </c>
      <c r="E52" s="9" t="inlineStr">
        <is>
          <t>B = 2x + 38</t>
        </is>
      </c>
      <c r="F52" s="9" t="inlineStr">
        <is>
          <t>B = 2x + 38</t>
        </is>
      </c>
      <c r="G52" s="9" t="inlineStr">
        <is>
          <t>Juste</t>
        </is>
      </c>
      <c r="H52" s="9" t="inlineStr">
        <is>
          <t>C'est juste, continue comme ça !</t>
        </is>
      </c>
      <c r="I52" s="9" t="inlineStr">
        <is>
          <t>1) On distribue 5 entre x et 7 : 5 × x = 5x et 5 × 7 = 35.
2) On distribue -3 entre x et -1 : -3 × x = -3x et -3 × (-1) = +3.
3) On rassemble les termes : B = 5x + 35 - 3x + 3.
4) On regroupe les x : 5x - 3x = 2x, puis les nombres : 35 + 3 = 38.
5) On obtient B = 2x + 38.</t>
        </is>
      </c>
      <c r="J52" s="10" t="n"/>
      <c r="K52" s="10" t="n"/>
      <c r="L52" s="10" t="n"/>
      <c r="M52" s="10" t="n"/>
      <c r="N52" s="10" t="n"/>
      <c r="O52" s="10" t="n"/>
      <c r="P52" s="10" t="n"/>
    </row>
    <row r="53">
      <c r="A53" s="9" t="inlineStr">
        <is>
          <t>C051</t>
        </is>
      </c>
      <c r="B53" s="9" t="inlineStr">
        <is>
          <t>3ème (BEPC)</t>
        </is>
      </c>
      <c r="C53" s="9" t="inlineStr">
        <is>
          <t>Histoire-Géographie</t>
        </is>
      </c>
      <c r="D53" s="9" t="inlineStr">
        <is>
          <t>Décris le rôle économique de la ville de Cotonou dans le Bénin contemporain à travers deux aspects précis.</t>
        </is>
      </c>
      <c r="E53" s="9" t="inlineStr">
        <is>
          <t>Cotonou est à la fois le premier centre commercial (avec ses grands marchés comme Dantokpa) et la plaque tournante du transport maritime (grâce à son port).</t>
        </is>
      </c>
      <c r="F53" s="9" t="inlineStr">
        <is>
          <t>Cotonou est à la fois le premier centre commercial (avec ses grands marchés comme Dantokpa) et la plaque tournante du transport maritime (grâce à son port).</t>
        </is>
      </c>
      <c r="G53" s="9" t="inlineStr">
        <is>
          <t>Juste</t>
        </is>
      </c>
      <c r="H53" s="9" t="inlineStr">
        <is>
          <t>C'est juste, continue comme ça !</t>
        </is>
      </c>
      <c r="I53" s="9" t="inlineStr">
        <is>
          <t>1. Identifie la nature de Cotonou : c'est la capitale économique du Bénin. 2. Premier aspect : le commerce et les marchés. Mentionne des lieux emblématiques comme le marché Dantokpa ou le marché de Porto-Novo (bien que ce soit un autre marché, Cotonou a ses propres grands marchés de produits de consommation). 3. Deuxième aspect : le transport et le port. Explique que le port de Cotonou permet l'importation des marchandises et l'exportation des produits agricoles béninois vers le monde entier. 4. Conclus en montrant que la ville vit de l'activité économique et des échanges.</t>
        </is>
      </c>
      <c r="J53" s="10" t="n"/>
      <c r="K53" s="10" t="n"/>
      <c r="L53" s="10" t="n"/>
      <c r="M53" s="10" t="n"/>
      <c r="N53" s="10" t="n"/>
      <c r="O53" s="10" t="n"/>
      <c r="P53" s="10" t="n"/>
    </row>
    <row r="54">
      <c r="A54" s="9" t="inlineStr">
        <is>
          <t>C052</t>
        </is>
      </c>
      <c r="B54" s="9" t="inlineStr">
        <is>
          <t>6ème</t>
        </is>
      </c>
      <c r="C54" s="9" t="inlineStr">
        <is>
          <t>Sciences de la Vie et de la Terre</t>
        </is>
      </c>
      <c r="D54" s="9" t="inlineStr">
        <is>
          <t>Au bord du lac Nokoué au Sud du Bénin, on observe deux oiseaux : le héron garde-bœufs qui possède un bec long, pointu et fort pour attraper des poissons et des grenouilles, et le canard sauvage qui possède un bec large et plat muni de lamelles filtrantes pour retenir les petites algues et les petits vers de la vase. Associe chaque oiseau à son régime alimentaire précis et explique le rôle adapté de leur bec.</t>
        </is>
      </c>
      <c r="E54" s="9" t="inlineStr">
        <is>
          <t>Le héron est zoophage (piscivore/carnivore) et son bec long sert de pince pour harponner ses proies. Le canard est omnivore (microphage/filtreur) et son bec plat muni de lamelles sert de filtre pour trier la nourriture de l'eau.</t>
        </is>
      </c>
      <c r="F54" s="9" t="inlineStr">
        <is>
          <t>Le héron est zoophage (piscivore/carnivore) et son bec long sert de pince pour harponner ses proies. Le canard est omnivore (microphage/filtreur) et son bec plat muni de lamelles sert de filtre pour trier la nourriture de l'eau.</t>
        </is>
      </c>
      <c r="G54" s="9" t="inlineStr">
        <is>
          <t>Juste</t>
        </is>
      </c>
      <c r="H54" s="9" t="inlineStr">
        <is>
          <t>C'est juste, continue comme ça !</t>
        </is>
      </c>
      <c r="I54" s="9" t="inlineStr">
        <is>
          <t>1. Analyser le bec du héron : il est long, pointu et fort, ce qui correspond à une pince adaptée pour saisir et tuer des proies vivantes (poissons, grenouilles). Son régime est donc carnivore (piscivore).
2. Analyser le bec du canard : il est large, plat et possède des lamelles (petites lames) qui agissent comme un tamis. Cela permet au canard de plonger dans l'eau, de bouger la vase et de retenir les particules alimentaires fines.
3. Conclure sur l'adaptation : la forme du bec est directement liée au régime alimentaire de l'oiseau pour faciliter la capture et la digestion de sa nourriture.</t>
        </is>
      </c>
      <c r="J54" s="10" t="n"/>
      <c r="K54" s="10" t="n"/>
      <c r="L54" s="10" t="n"/>
      <c r="M54" s="10" t="n"/>
      <c r="N54" s="10" t="n"/>
      <c r="O54" s="10" t="n"/>
      <c r="P54" s="10" t="n"/>
    </row>
    <row r="55">
      <c r="A55" s="9" t="inlineStr">
        <is>
          <t>C053</t>
        </is>
      </c>
      <c r="B55" s="9" t="inlineStr">
        <is>
          <t>4ème</t>
        </is>
      </c>
      <c r="C55" s="9" t="inlineStr">
        <is>
          <t>Physique-Chimie-Technologie</t>
        </is>
      </c>
      <c r="D55" s="9" t="inlineStr">
        <is>
          <t>La formule de la molécule de ammoniac est NH₃.
1) Quels atomes la composent, et combien de chaque sorte ?
2) Combien d'atomes compte-t-on en tout dans 8 molécule(s) de ammoniac ?</t>
        </is>
      </c>
      <c r="E55" s="9" t="inlineStr">
        <is>
          <t>1 atome(s) de azote, 3 atome(s) de hydrogène ; soit 32 atomes dans 8 molécule(s).</t>
        </is>
      </c>
      <c r="F55" s="9" t="inlineStr">
        <is>
          <t>1 atome(s) de azote, 3 atome(s) de hydrogène ; soit 32 atomes dans 8 molécule(s).</t>
        </is>
      </c>
      <c r="G55" s="9" t="inlineStr">
        <is>
          <t>Juste</t>
        </is>
      </c>
      <c r="H55" s="9" t="inlineStr">
        <is>
          <t>C'est juste, continue comme ça !</t>
        </is>
      </c>
      <c r="I55" s="9" t="inlineStr">
        <is>
          <t>1) LES ATOMES DE LA MOLÉCULE
   Le chiffre écrit en INDICE, en bas à droite d'un symbole, donne le nombre
   d'atomes de cette sorte. Sans chiffre, il n'y en a qu'un.
   • azote : 1 atome(s)
   • hydrogène : 3 atome(s)
   Total pour UNE molécule : 4 atomes.
2) POUR 8 MOLÉCULE(S)
   On multiplie par 8 :
   4 × 8 = 32 atomes
À RETENIR
   Une molécule est un assemblage d'atomes liés entre eux.
   Le coefficient devant la formule multiplie TOUS les atomes.</t>
        </is>
      </c>
      <c r="J55" s="10" t="n"/>
      <c r="K55" s="10" t="n"/>
      <c r="L55" s="10" t="n"/>
      <c r="M55" s="10" t="n"/>
      <c r="N55" s="10" t="n"/>
      <c r="O55" s="10" t="n"/>
      <c r="P55" s="10" t="n"/>
    </row>
    <row r="56">
      <c r="A56" s="9" t="inlineStr">
        <is>
          <t>C054</t>
        </is>
      </c>
      <c r="B56" s="9" t="inlineStr">
        <is>
          <t>5ème</t>
        </is>
      </c>
      <c r="C56" s="9" t="inlineStr">
        <is>
          <t>Physique-Chimie-Technologie</t>
        </is>
      </c>
      <c r="D56" s="9" t="inlineStr">
        <is>
          <t>Deux résistances R₁ = 20 Ω et R₂ = 40 Ω sont montées EN SÉRIE sous une tension de 12 V.
1) Calcule la résistance équivalente.
2) Calcule l'intensité du courant dans le circuit.</t>
        </is>
      </c>
      <c r="E56" s="9" t="inlineStr">
        <is>
          <t>Réq = 60 Ω et I = 0,2 A</t>
        </is>
      </c>
      <c r="F56" s="9" t="inlineStr">
        <is>
          <t>Réq = 59 Ω et I = 0,2 A</t>
        </is>
      </c>
      <c r="G56" s="9" t="inlineStr">
        <is>
          <t>Faux</t>
        </is>
      </c>
      <c r="H56" s="9" t="inlineStr">
        <is>
          <t>Presque bon mon petit ! Tu as une petite erreur de calcul à la première question, mais ton intensité est parfaite.</t>
        </is>
      </c>
      <c r="I56" s="9" t="inlineStr">
        <is>
          <t>Pour calculer la résistance équivalente de deux résistances montées en série, on utilise la formule de la somme : Réq = R₁ + R₂. En remplaçant par les valeurs, cela donne 20 Ω + 40 Ω, ce qui fait 60 Ω et non 59 Ω. Pour l'intensité, tu as très bien appliqué la loi d'Ohm avec I = U ÷ Réq, soit 12 V ÷ 60 Ω = 0,2 A. C'est un excellent travail, continue tes efforts !</t>
        </is>
      </c>
      <c r="J56" s="10" t="n"/>
      <c r="K56" s="10" t="n"/>
      <c r="L56" s="10" t="n"/>
      <c r="M56" s="10" t="n"/>
      <c r="N56" s="10" t="n"/>
      <c r="O56" s="10" t="n"/>
      <c r="P56" s="10" t="n"/>
    </row>
    <row r="57">
      <c r="A57" s="9" t="inlineStr">
        <is>
          <t>C055</t>
        </is>
      </c>
      <c r="B57" s="9" t="inlineStr">
        <is>
          <t>3ème (BEPC)</t>
        </is>
      </c>
      <c r="C57" s="9" t="inlineStr">
        <is>
          <t>Lecture</t>
        </is>
      </c>
      <c r="D57" s="9" t="inlineStr">
        <is>
          <t>Lis l'extrait argumentatif : « Certes, l'internet offre un accès rapide à l'information pour les élèves de troisième qui préparent le BEPC. Mais il constitue aussi un piège redoutable à cause des distractions permanentes comme les jeux en ligne qui font baisser les notes. » Question : Dégage la thèse adverse (concédée), la thèse soutenue par l'auteur, et le mot charnière qui articule les deux.</t>
        </is>
      </c>
      <c r="E57" s="9" t="inlineStr">
        <is>
          <t>Thèse adverse : L'internet offre un accès rapide à l'information. Thèse soutenue : L'internet est un piège redoutable qui fait baisser les notes. Mot charnière : Mais.</t>
        </is>
      </c>
      <c r="F57" s="9" t="inlineStr">
        <is>
          <t>1. L'événement qui rompt le calme est l'arrivée soudaine d'une pirogue motorisée qui fonce droit sur le filet de Sourou. 2. On l'appelle l'élément perturbateur (ou élément déclencheur).</t>
        </is>
      </c>
      <c r="G57" s="9" t="inlineStr">
        <is>
          <t>Faux</t>
        </is>
      </c>
      <c r="H57" s="9" t="inlineStr">
        <is>
          <t>Attention, ta réponse ne répond pas à cet exercice.</t>
        </is>
      </c>
      <c r="I57" s="9" t="inlineStr">
        <is>
          <t>Ta réponse ne traite pas la question de cet exercice. Voici la démarche attendue :
Étape 1 : Repérer la concession. Le mot « Certes » introduit l'avis que l'on admet mais que l'on nuance. C'est la thèse adverse : l'accès rapide à l'information. Étape 2 : Repérer l'opposition. Le mot « Mais » marque le retournement de la pensée. Étape 3 : Repérer la thèse principale. Après « Mais », l'auteur expose son point de vue : l'internet est un piège qui fait baisser les notes. Étape 4 : Identifier le mot charnière. C'est le mot « Mais » qui relie la concession à la thèse forte.</t>
        </is>
      </c>
      <c r="J57" s="10" t="n"/>
      <c r="K57" s="10" t="n"/>
      <c r="L57" s="10" t="n"/>
      <c r="M57" s="10" t="n"/>
      <c r="N57" s="10" t="n"/>
      <c r="O57" s="10" t="n"/>
      <c r="P57" s="10" t="n"/>
    </row>
    <row r="58">
      <c r="A58" s="9" t="inlineStr">
        <is>
          <t>C056</t>
        </is>
      </c>
      <c r="B58" s="9" t="inlineStr">
        <is>
          <t>3ème (BEPC)</t>
        </is>
      </c>
      <c r="C58" s="9" t="inlineStr">
        <is>
          <t>Mathématiques</t>
        </is>
      </c>
      <c r="D58" s="9" t="inlineStr">
        <is>
          <t>Développe puis réduis : D = (x + 2)² - (x - 7)(x + 7).</t>
        </is>
      </c>
      <c r="E58" s="9" t="inlineStr">
        <is>
          <t>D = 4x + 53</t>
        </is>
      </c>
      <c r="F58" s="9" t="inlineStr">
        <is>
          <t>4x + 53</t>
        </is>
      </c>
      <c r="G58" s="9" t="inlineStr">
        <is>
          <t>Juste</t>
        </is>
      </c>
      <c r="H58" s="9" t="inlineStr">
        <is>
          <t>C'est juste, continue comme ça !</t>
        </is>
      </c>
      <c r="I58" s="9" t="inlineStr">
        <is>
          <t>1) ON DÉVELOPPE (x + 2)²
   Identité : (a + b)² = a² + 2ab + b²
   (x + 2)² = x² + 4x + 4
2) ON DÉVELOPPE (x - 7)(x + 7)
   Identité : (a - b)(a + b) = a² - b²
   (x - 7)(x + 7) = x² - 49
3) ON REMPLACE DANS D
   D = (x² + 4x + 4) - (x² - 49)
4) ATTENTION AU SIGNE MOINS devant la parenthèse
   D = x² + 4x + 4 - x² + 49
5) LES x² SE SIMPLIFIENT
   D = 4x + 53</t>
        </is>
      </c>
      <c r="J58" s="10" t="n"/>
      <c r="K58" s="10" t="n"/>
      <c r="L58" s="10" t="n"/>
      <c r="M58" s="10" t="n"/>
      <c r="N58" s="10" t="n"/>
      <c r="O58" s="10" t="n"/>
      <c r="P58" s="10" t="n"/>
    </row>
    <row r="59">
      <c r="A59" s="9" t="inlineStr">
        <is>
          <t>C057</t>
        </is>
      </c>
      <c r="B59" s="9" t="inlineStr">
        <is>
          <t>4ème</t>
        </is>
      </c>
      <c r="C59" s="9" t="inlineStr">
        <is>
          <t>Sciences de la Vie et de la Terre</t>
        </is>
      </c>
      <c r="D59" s="9" t="inlineStr">
        <is>
          <t>Au cours de l'élevage des tilapias dans un étang à Agbangou, un pisciculteur observe que les femelles pondent des ovocytes dans l'eau et que les mâles les arrosent immédiatement de leur sperme. Quel type de fécondation observe-t-on ?</t>
        </is>
      </c>
      <c r="E59" s="9" t="inlineStr">
        <is>
          <t>Une fécondation externe.</t>
        </is>
      </c>
      <c r="F59" s="9" t="inlineStr">
        <is>
          <t>Une fécondation externe.</t>
        </is>
      </c>
      <c r="G59" s="9" t="inlineStr">
        <is>
          <t>Juste</t>
        </is>
      </c>
      <c r="H59" s="9" t="inlineStr">
        <is>
          <t>C'est juste, continue comme ça !</t>
        </is>
      </c>
      <c r="I59" s="9" t="inlineStr">
        <is>
          <t>1. Analyser le lieu où se produit la rencontre des gamètes : les ovocytes sont pondus dans l'eau et le sperme y est déversé.
2. Conclure : puisque la fusion des gamètes a lieu à l'extérieur du corps de la femelle, il s'agit d'une fécondation externe.</t>
        </is>
      </c>
      <c r="J59" s="10" t="n"/>
      <c r="K59" s="10" t="n"/>
      <c r="L59" s="10" t="n"/>
      <c r="M59" s="10" t="n"/>
      <c r="N59" s="10" t="n"/>
      <c r="O59" s="10" t="n"/>
      <c r="P59" s="10" t="n"/>
    </row>
    <row r="60">
      <c r="A60" s="9" t="inlineStr">
        <is>
          <t>C058</t>
        </is>
      </c>
      <c r="B60" s="9" t="inlineStr">
        <is>
          <t>Terminale (BAC)</t>
        </is>
      </c>
      <c r="C60" s="9" t="inlineStr">
        <is>
          <t>Anglais</t>
        </is>
      </c>
      <c r="D60" s="9" t="inlineStr">
        <is>
          <t>Read the following sentence and find a synonym for the underlined word: « The government launched a massive campaign to &lt;u&gt;eradicate&lt;/u&gt; malaria in rural areas like Banikoara. »</t>
        </is>
      </c>
      <c r="E60" s="9" t="inlineStr">
        <is>
          <t>Eliminate (or abolish, wipe out)</t>
        </is>
      </c>
      <c r="F60" s="9" t="inlineStr">
        <is>
          <t>Eliminate (or abolish, wipe out)</t>
        </is>
      </c>
      <c r="G60" s="9" t="inlineStr">
        <is>
          <t>Juste</t>
        </is>
      </c>
      <c r="H60" s="9" t="inlineStr">
        <is>
          <t>Excellent travail, c'est tout à fait exact !</t>
        </is>
      </c>
      <c r="I60" s="9" t="inlineStr">
        <is>
          <t>Pour trouver un synonyme, on regarde d'abord le mot souligné dans son contexte au Bénin. "Eradicate" signifie détruire complètement, comme lorsqu'on lutte contre le paludisme à Banikoara. Proposer "eliminate" montre que tu as bien compris le sens du texte. C'est une excellente maîtrise du vocabulaire !</t>
        </is>
      </c>
      <c r="J60" s="10" t="n"/>
      <c r="K60" s="10" t="n"/>
      <c r="L60" s="10" t="n"/>
      <c r="M60" s="10" t="n"/>
      <c r="N60" s="10" t="n"/>
      <c r="O60" s="10" t="n"/>
      <c r="P60" s="10" t="n"/>
    </row>
    <row r="61">
      <c r="A61" s="9" t="inlineStr">
        <is>
          <t>C059</t>
        </is>
      </c>
      <c r="B61" s="9" t="inlineStr">
        <is>
          <t>5ème</t>
        </is>
      </c>
      <c r="C61" s="9" t="inlineStr">
        <is>
          <t>Physique-Chimie-Technologie</t>
        </is>
      </c>
      <c r="D61" s="9" t="inlineStr">
        <is>
          <t>Deux résistances R₁ = 60 Ω et R₂ = 70 Ω sont montées EN SÉRIE sous une tension de 65 V.
1) Calcule la résistance équivalente.
2) Calcule l'intensité du courant dans le circuit.</t>
        </is>
      </c>
      <c r="E61" s="9" t="inlineStr">
        <is>
          <t>Réq = 130 Ω et I = 0,5 A</t>
        </is>
      </c>
      <c r="F61" s="9" t="inlineStr">
        <is>
          <t>Réq = 140 Ω et I = 0,5 A</t>
        </is>
      </c>
      <c r="G61" s="9" t="inlineStr">
        <is>
          <t>Faux</t>
        </is>
      </c>
      <c r="H61" s="9" t="inlineStr">
        <is>
          <t>Ce n'est pas la bonne réponse, reprenons ensemble.</t>
        </is>
      </c>
      <c r="I61" s="9" t="inlineStr">
        <is>
          <t>Tu as écrit 140 là où il fallait 130. Reprenons la démarche :
1) RÉSISTANCE ÉQUIVALENTE
   En série, les résistances s'additionnent :
   Réq = R₁ + R₂ = 60 + 70 = 130 Ω
2) INTENSITÉ DU COURANT
   La loi d'Ohm s'écrit U = Réq × I, donc I = U ÷ Réq.
   I = 65 ÷ 130
   I = 0,5 A
À RETENIR
   En série, le courant est le MÊME partout dans le circuit.
   C'est la tension qui se partage entre les deux résistances.</t>
        </is>
      </c>
      <c r="J61" s="10" t="n"/>
      <c r="K61" s="10" t="n"/>
      <c r="L61" s="10" t="n"/>
      <c r="M61" s="10" t="n"/>
      <c r="N61" s="10" t="n"/>
      <c r="O61" s="10" t="n"/>
      <c r="P61" s="10" t="n"/>
    </row>
    <row r="62">
      <c r="A62" s="9" t="inlineStr">
        <is>
          <t>C060</t>
        </is>
      </c>
      <c r="B62" s="9" t="inlineStr">
        <is>
          <t>3ème (BEPC)</t>
        </is>
      </c>
      <c r="C62" s="9" t="inlineStr">
        <is>
          <t>Espagnol</t>
        </is>
      </c>
      <c r="D62" s="9" t="inlineStr">
        <is>
          <t>Lee el texto: «Mi hermano mayor estudia medicina en la Universidad de Abomey-Calavi. Dice que la carrera es muy difícil, pero le apasiona ayudar a los enfermos.» Pregunta: ¿Qué estudia el hermano y cuál es su motivación principal?</t>
        </is>
      </c>
      <c r="E62" s="9" t="inlineStr">
        <is>
          <t>Estudia medicina y su motivación es ayudar a los enfermos.</t>
        </is>
      </c>
      <c r="F62" s="9" t="inlineStr">
        <is>
          <t>Estudia medicina y su motivación es ayudar a los enfermos.</t>
        </is>
      </c>
      <c r="G62" s="9" t="inlineStr">
        <is>
          <t>Juste</t>
        </is>
      </c>
      <c r="H62" s="9" t="inlineStr">
        <is>
          <t>¡Muy bien! C'est un sans faute, tu as trouvé la bonne réponse.</t>
        </is>
      </c>
      <c r="I62" s="9" t="inlineStr">
        <is>
          <t>Pour répondre à cette question, il fallait d'abord chercher dans le texte le mot 'estudia' pour trouver ce qu'il étudie (medicina) et ensuite chercher sa motivation avec le verbe 'apasiona' (ayudar a los enfermos). Tu as su extraire les informations sans recopier bêtement, c'est exactement la bonne méthode !</t>
        </is>
      </c>
      <c r="J62" s="10" t="n"/>
      <c r="K62" s="10" t="n"/>
      <c r="L62" s="10" t="n"/>
      <c r="M62" s="10" t="n"/>
      <c r="N62" s="10" t="n"/>
      <c r="O62" s="10" t="n"/>
      <c r="P62" s="10" t="n"/>
    </row>
  </sheetData>
  <autoFilter ref="A1:P62"/>
  <dataValidations count="6">
    <dataValidation sqref="J3:J62" showDropDown="0" showInputMessage="0" showErrorMessage="1" allowBlank="1" errorTitle="Valeur non prévue" error="Choisissez une valeur dans la liste." type="list">
      <formula1>"Oui,Non"</formula1>
    </dataValidation>
    <dataValidation sqref="K3:K62" showDropDown="0" showInputMessage="0" showErrorMessage="1" allowBlank="1" errorTitle="Valeur non prévue" error="Choisissez une valeur dans la liste." type="list">
      <formula1>"Juste,Erreur mineure,Erreur grave"</formula1>
    </dataValidation>
    <dataValidation sqref="L3:L62" showDropDown="0" showInputMessage="0" showErrorMessage="1" allowBlank="1" errorTitle="Valeur non prévue" error="Choisissez une valeur dans la liste." type="list">
      <formula1>"1,2,3,4,5"</formula1>
    </dataValidation>
    <dataValidation sqref="M3:M62" showDropDown="0" showInputMessage="0" showErrorMessage="1" allowBlank="1" errorTitle="Valeur non prévue" error="Choisissez une valeur dans la liste." type="list">
      <formula1>"1,2,3,4,5"</formula1>
    </dataValidation>
    <dataValidation sqref="N3:N62" showDropDown="0" showInputMessage="0" showErrorMessage="1" allowBlank="1" errorTitle="Valeur non prévue" error="Choisissez une valeur dans la liste." type="list">
      <formula1>"1,2,3,4,5"</formula1>
    </dataValidation>
    <dataValidation sqref="O3:O62" showDropDown="0" showInputMessage="0" showErrorMessage="1" allowBlank="1" errorTitle="Valeur non prévue" error="Choisissez une valeur dans la liste." type="list">
      <formula1>"Tel quel,Après retouche,Non"</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14" customWidth="1" min="2" max="2"/>
  </cols>
  <sheetData>
    <row r="1">
      <c r="A1" s="11" t="inlineStr">
        <is>
          <t>Vos notes, calculées automatiquement (ligne d'exemple exclue)</t>
        </is>
      </c>
    </row>
    <row r="2">
      <c r="A2" s="12" t="inlineStr">
        <is>
          <t>Exercices relus</t>
        </is>
      </c>
      <c r="B2" s="12">
        <f>COUNTA(Exercices!I3:I62)</f>
        <v/>
      </c>
    </row>
    <row r="3">
      <c r="A3" s="12" t="inlineStr">
        <is>
          <t>Exercices justes (part)</t>
        </is>
      </c>
      <c r="B3" s="13">
        <f>IFERROR(COUNTIF(Exercices!I3:I62,"Juste")/B2,"")</f>
        <v/>
      </c>
    </row>
    <row r="4">
      <c r="A4" s="12" t="inlineStr">
        <is>
          <t>Exercices utilisables tels quels (part)</t>
        </is>
      </c>
      <c r="B4" s="13">
        <f>IFERROR(COUNTIF(Exercices!O3:O62,"Tel quel")/B2,"")</f>
        <v/>
      </c>
    </row>
    <row r="5">
      <c r="A5" s="12" t="inlineStr">
        <is>
          <t>Clarté moyenne</t>
        </is>
      </c>
      <c r="B5" s="14">
        <f>IFERROR(SUMPRODUCT(VALUE(0&amp;Exercices!L3:L62))/COUNTA(Exercices!L3:L62),"")</f>
        <v/>
      </c>
    </row>
    <row r="6">
      <c r="A6" s="12" t="inlineStr">
        <is>
          <t>Corrections relues</t>
        </is>
      </c>
      <c r="B6" s="12">
        <f>COUNTA(Corrections!J3:J62)</f>
        <v/>
      </c>
    </row>
    <row r="7">
      <c r="A7" s="12" t="inlineStr">
        <is>
          <t>Verdicts corrects (part)</t>
        </is>
      </c>
      <c r="B7" s="13">
        <f>IFERROR(COUNTIF(Corrections!J3:J62,"Oui")/B6,"")</f>
        <v/>
      </c>
    </row>
    <row r="8">
      <c r="A8" s="12" t="inlineStr">
        <is>
          <t>Corrections utilisables telles quelles (part)</t>
        </is>
      </c>
      <c r="B8" s="13">
        <f>IFERROR(COUNTIF(Corrections!O3:O62,"Tel quel")/B6,"")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2026-09-26T18:08:18Z</dcterms:created>
  <dcterms:modified xsi:type="dcterms:W3CDTF">2026-09-26T18:08:18Z</dcterms:modified>
</cp:coreProperties>
</file>